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6\KEPEGAWAIAN\"/>
    </mc:Choice>
  </mc:AlternateContent>
  <xr:revisionPtr revIDLastSave="0" documentId="8_{6A48CC8F-E8CF-4CD2-BF11-DB1465537873}" xr6:coauthVersionLast="47" xr6:coauthVersionMax="47" xr10:uidLastSave="{00000000-0000-0000-0000-000000000000}"/>
  <bookViews>
    <workbookView xWindow="-120" yWindow="-120" windowWidth="24240" windowHeight="13140" activeTab="4" xr2:uid="{5530C920-9890-4BE2-B68F-F8CFE75A49F5}"/>
  </bookViews>
  <sheets>
    <sheet name="ASN" sheetId="3" r:id="rId1"/>
    <sheet name="P3K PW" sheetId="8" r:id="rId2"/>
    <sheet name="OS" sheetId="9" r:id="rId3"/>
    <sheet name="Peta Jabatan" sheetId="6" r:id="rId4"/>
    <sheet name="Sheet1" sheetId="10" r:id="rId5"/>
  </sheets>
  <externalReferences>
    <externalReference r:id="rId6"/>
  </externalReferences>
  <definedNames>
    <definedName name="_Order1" hidden="1">0</definedName>
    <definedName name="_Order2" hidden="1">255</definedName>
    <definedName name="_xlnm.Database">#REF!</definedName>
    <definedName name="db_pddk">[1]Analisis!$B$281:$C$377</definedName>
    <definedName name="kognitif">[1]Sheet1!$A$16:$A$21</definedName>
    <definedName name="master_jabatan">'[1]Data Jab Raw'!$C$1:$G$1731</definedName>
    <definedName name="_xlnm.Print_Area">#REF!</definedName>
    <definedName name="sektor">[1]Analisis!$M$1:$M$35</definedName>
    <definedName name="sifat">[1]Analisis!$Q$1:$Q$4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8" l="1"/>
  <c r="AB42" i="6"/>
  <c r="AB55" i="6"/>
  <c r="AB53" i="6"/>
  <c r="AB50" i="6"/>
  <c r="G49" i="6"/>
  <c r="AB48" i="6"/>
  <c r="AB46" i="6"/>
  <c r="G44" i="6"/>
  <c r="U39" i="6"/>
  <c r="AB38" i="6"/>
  <c r="G38" i="6"/>
  <c r="U36" i="6"/>
  <c r="G36" i="6"/>
  <c r="AI35" i="6"/>
  <c r="AB34" i="6"/>
  <c r="U34" i="6"/>
  <c r="G34" i="6"/>
  <c r="AI32" i="6"/>
  <c r="AB32" i="6"/>
  <c r="U32" i="6"/>
  <c r="M32" i="6"/>
  <c r="G32" i="6"/>
  <c r="AI30" i="6"/>
  <c r="AB30" i="6"/>
  <c r="U30" i="6"/>
  <c r="M30" i="6"/>
  <c r="G30" i="6"/>
  <c r="AI28" i="6"/>
  <c r="AB28" i="6"/>
  <c r="U28" i="6"/>
  <c r="M28" i="6"/>
  <c r="G28" i="6"/>
  <c r="AI25" i="6"/>
  <c r="AB25" i="6"/>
  <c r="U25" i="6"/>
  <c r="M25" i="6"/>
  <c r="G25" i="6"/>
  <c r="AI18" i="6"/>
  <c r="AB18" i="6"/>
  <c r="U18" i="6"/>
  <c r="M18" i="6"/>
  <c r="AM14" i="6"/>
  <c r="AL14" i="6"/>
  <c r="AN13" i="6"/>
  <c r="AN12" i="6"/>
  <c r="AN11" i="6"/>
  <c r="AN10" i="6"/>
  <c r="AN9" i="6"/>
  <c r="S9" i="6"/>
  <c r="AN8" i="6"/>
  <c r="AN7" i="6"/>
  <c r="AN6" i="6"/>
  <c r="AN5" i="6"/>
  <c r="AN4" i="6"/>
  <c r="AN3" i="6"/>
  <c r="AN14" i="6" l="1"/>
</calcChain>
</file>

<file path=xl/sharedStrings.xml><?xml version="1.0" encoding="utf-8"?>
<sst xmlns="http://schemas.openxmlformats.org/spreadsheetml/2006/main" count="747" uniqueCount="342">
  <si>
    <t>KL</t>
  </si>
  <si>
    <t>B</t>
  </si>
  <si>
    <t>K</t>
  </si>
  <si>
    <t>S</t>
  </si>
  <si>
    <t>Perencana Ahli Muda</t>
  </si>
  <si>
    <t>Perencana Ahli Pertama</t>
  </si>
  <si>
    <t>Penelaah Teknis Kebijakan</t>
  </si>
  <si>
    <t>Pengadministrasi Perkantoran</t>
  </si>
  <si>
    <t>Pengolah Data dan Informasi</t>
  </si>
  <si>
    <t>Operator Layanan Operasional</t>
  </si>
  <si>
    <t>Pengelola Layanan Operasional</t>
  </si>
  <si>
    <t>Kelas 14</t>
  </si>
  <si>
    <t>Kelas 12</t>
  </si>
  <si>
    <t>Kelas 11</t>
  </si>
  <si>
    <t>Kelas 10</t>
  </si>
  <si>
    <t>Kelas 9</t>
  </si>
  <si>
    <t>Kelas 8</t>
  </si>
  <si>
    <t>Kelas 7</t>
  </si>
  <si>
    <t>Kelas 6</t>
  </si>
  <si>
    <t>Kelas 5</t>
  </si>
  <si>
    <t>Kelas 3</t>
  </si>
  <si>
    <t>Jumlah</t>
  </si>
  <si>
    <t>Pengelola Umum Operasional</t>
  </si>
  <si>
    <t>Kelas 1</t>
  </si>
  <si>
    <t>NO</t>
  </si>
  <si>
    <t>NAMA</t>
  </si>
  <si>
    <t>NIP</t>
  </si>
  <si>
    <t>JABATAN</t>
  </si>
  <si>
    <t>UNIT ORGANISASI (BIDANG/SEKSI)</t>
  </si>
  <si>
    <t>KET</t>
  </si>
  <si>
    <t>Drs. SAWUNG REHTOMO, M.Si</t>
  </si>
  <si>
    <t>MOCH. HASAN, S.Si</t>
  </si>
  <si>
    <t>BIBIT WIYONO, S.Sos</t>
  </si>
  <si>
    <t>RATNASARI WANDANWULAN, SH</t>
  </si>
  <si>
    <t>SUWADJI, S.Sos</t>
  </si>
  <si>
    <t>FENDY SUJONO S.Sos</t>
  </si>
  <si>
    <t>AYU NUR WIDYANINGSIH, SE, MM</t>
  </si>
  <si>
    <t>ISNIAWATY RAHMADYANI, SH</t>
  </si>
  <si>
    <t>HERLIN DIANA PUSPITASARI</t>
  </si>
  <si>
    <t>JAKA PURYANA</t>
  </si>
  <si>
    <t>MUHAMMAD YUSUF, A.Md</t>
  </si>
  <si>
    <t>TOTOK SUPRIYANTO</t>
  </si>
  <si>
    <t>FAHRUR BUDI SUSETYO</t>
  </si>
  <si>
    <t>MUH. ALIFI</t>
  </si>
  <si>
    <t>AJI NUR CAHYO</t>
  </si>
  <si>
    <t>WAWAN SISWANTO</t>
  </si>
  <si>
    <t>OKI DWITANTO</t>
  </si>
  <si>
    <t>BISRI RUSMAWAN</t>
  </si>
  <si>
    <t>DONNA SETYORINI, SE</t>
  </si>
  <si>
    <t xml:space="preserve">M SYAIKHONI A, SH  </t>
  </si>
  <si>
    <t>AGUS YULIANTO</t>
  </si>
  <si>
    <t>RIYANTO</t>
  </si>
  <si>
    <t>AMIRUDDIN ALAMSYAH</t>
  </si>
  <si>
    <t>BAMBANG PARIKESIT</t>
  </si>
  <si>
    <t>ASRI PUSPITANINGRUM</t>
  </si>
  <si>
    <t>PRISILIA ELOK MONAROSSI</t>
  </si>
  <si>
    <t>FEFRI NURCAHYO</t>
  </si>
  <si>
    <t>YEA THORIQUL HIFZAL MOSHA</t>
  </si>
  <si>
    <t>DIAH ATHIFAH NUR AULIA</t>
  </si>
  <si>
    <t>FELBIANISA GRANDIS PERMATA</t>
  </si>
  <si>
    <t>ANANG SUHARJANTO</t>
  </si>
  <si>
    <t>JUADI</t>
  </si>
  <si>
    <t>JOKO MURYANTO</t>
  </si>
  <si>
    <t>SAID</t>
  </si>
  <si>
    <t>RADINO</t>
  </si>
  <si>
    <t>197107252025211010</t>
  </si>
  <si>
    <t>197305122025211008</t>
  </si>
  <si>
    <t>199805162025211005</t>
  </si>
  <si>
    <t>199910202025211003</t>
  </si>
  <si>
    <t>199908262025212019</t>
  </si>
  <si>
    <t>199905052025212034</t>
  </si>
  <si>
    <t>199302132025211043</t>
  </si>
  <si>
    <t>200207292025211001</t>
  </si>
  <si>
    <t>200304012025212001</t>
  </si>
  <si>
    <t>200108082025212011</t>
  </si>
  <si>
    <t>197504272025211006</t>
  </si>
  <si>
    <t>197603312025211005</t>
  </si>
  <si>
    <t>198010182025211018</t>
  </si>
  <si>
    <t>197506012025211014</t>
  </si>
  <si>
    <t>196803152025211004</t>
  </si>
  <si>
    <t>197008251990031001</t>
  </si>
  <si>
    <t>197107191998031005</t>
  </si>
  <si>
    <t>197010251991031004</t>
  </si>
  <si>
    <t>197305011999032007</t>
  </si>
  <si>
    <t>197011101994031003</t>
  </si>
  <si>
    <t>198509032011011007</t>
  </si>
  <si>
    <t>198705012011012015</t>
  </si>
  <si>
    <t>198306072002122002</t>
  </si>
  <si>
    <t>198105202002122005</t>
  </si>
  <si>
    <t>196910301991112001</t>
  </si>
  <si>
    <t>197308221996021001</t>
  </si>
  <si>
    <t>198810142011011004</t>
  </si>
  <si>
    <t>197207092003121004</t>
  </si>
  <si>
    <t>197711092003121004</t>
  </si>
  <si>
    <t>197301062002121006</t>
  </si>
  <si>
    <t>198506162005011002</t>
  </si>
  <si>
    <t>197701122007011012</t>
  </si>
  <si>
    <t>198210132009011002</t>
  </si>
  <si>
    <t>196806302010011001</t>
  </si>
  <si>
    <t>198212262008011010</t>
  </si>
  <si>
    <t>197803022024212011</t>
  </si>
  <si>
    <t>199505222024211013</t>
  </si>
  <si>
    <t>Sekretaris Dewan Perwakilan Rakyat Daerah</t>
  </si>
  <si>
    <t>Kepala Bagian Umum</t>
  </si>
  <si>
    <t>Analis Kebijakan Ahli Muda</t>
  </si>
  <si>
    <t>Kepala Bagian Persidangan dan Perundang-undangan</t>
  </si>
  <si>
    <t>YATINI, S.Sos</t>
  </si>
  <si>
    <t>Pengelola Keprotokolan</t>
  </si>
  <si>
    <t>Kepala Bagian Program dan Keuangan</t>
  </si>
  <si>
    <t>YUNI ASIYANTO, SH</t>
  </si>
  <si>
    <t>DIDIK ISTYAWAN, SM</t>
  </si>
  <si>
    <t>Kepala Bagian Fasilitasi Penganggaran dan Pengawasan</t>
  </si>
  <si>
    <t>Penata Keprotokolan</t>
  </si>
  <si>
    <t>Pranata Hubungan Masyarakat Ahli Pertama</t>
  </si>
  <si>
    <t>Perisalah Legislatif Ahli Pertama</t>
  </si>
  <si>
    <t xml:space="preserve">Bagian Umum </t>
  </si>
  <si>
    <t xml:space="preserve">Bagian Fasilitasi Penganggaran dan Pengawasan </t>
  </si>
  <si>
    <t>Bagian Persidangan dan Perundang-undangan</t>
  </si>
  <si>
    <t>BUP 1-10-2027</t>
  </si>
  <si>
    <t>BUP 1-7-2026</t>
  </si>
  <si>
    <t>PETA JABATAN DI LINGKUNGAN</t>
  </si>
  <si>
    <t>Kelas Jabatan</t>
  </si>
  <si>
    <t>SEKRETARIAT DPRD KABUPATEN MADIUN</t>
  </si>
  <si>
    <t>Kepala BKPSDM</t>
  </si>
  <si>
    <t>Drs. SAWUNG REHTOMO, M.Si
NIP. 197008251990031001</t>
  </si>
  <si>
    <t>Kepala Bagian Fasilitasi, Penganggaran dan Pengawasan</t>
  </si>
  <si>
    <t>MOCH. HASAN, S.Si
NIP. 197107191998031005</t>
  </si>
  <si>
    <t>Pembina tingkat I  (IV/b)</t>
  </si>
  <si>
    <t>SUWADJI, S.Sos
NIP. 197011101994031003</t>
  </si>
  <si>
    <t>Penata Tingkat I (III/d)</t>
  </si>
  <si>
    <t>RATNASARI WANDANWULAN, SH
NIP. 197305011999032007</t>
  </si>
  <si>
    <t>Pembina (IV/a)</t>
  </si>
  <si>
    <t>BIBIT WIYONO, S.Sos
NIP. 19701025 199103 1 004</t>
  </si>
  <si>
    <t>Pembina Tingkat I (IV/b)</t>
  </si>
  <si>
    <t xml:space="preserve">Analis Kebijakan Ahli Muda </t>
  </si>
  <si>
    <t>Perisalah Legislatif Ahli Muda</t>
  </si>
  <si>
    <t>Analis Keuangan Negara Ahli Muda</t>
  </si>
  <si>
    <t>AYU NUR WIDYANINGSIH, SE
NIP. 19870501 201101 2 005</t>
  </si>
  <si>
    <t>Penata (III/c)
01/10/2021</t>
  </si>
  <si>
    <t>FENDY SUJONO S.Sos
NIP. 9850903 201101 1 007</t>
  </si>
  <si>
    <t>Penata (III/c)
01/10/2023</t>
  </si>
  <si>
    <t>Analis Kebijakan Ahli Pertama</t>
  </si>
  <si>
    <t>M SYAIKHONI A, SH  
NIP. 19950522 202421 1 013</t>
  </si>
  <si>
    <t>IX
01/03/2024</t>
  </si>
  <si>
    <t>Pranata Hubungan Masyarakat Ahli Muda</t>
  </si>
  <si>
    <t>Analis Keuangan Negara Ahli Pertama</t>
  </si>
  <si>
    <t>FAHRUR BUDI SUSETYO
NIP. 19771109 200312 1 004</t>
  </si>
  <si>
    <t>Penata Muda Tingkat I (III/b)
01/04/2024</t>
  </si>
  <si>
    <t>PRISILIA ELOK MONAROSSI
NIP. 199905052025212034</t>
  </si>
  <si>
    <t>V</t>
  </si>
  <si>
    <t>DONNA SETYORINI, SE
NIP. 19780302 202421 2 011</t>
  </si>
  <si>
    <t>HERLIN DIANA PUSPITASARI
NIP. 19691030 199111 2 001</t>
  </si>
  <si>
    <t>Penata Muda Tingkat I (III/b)
01/04/2012</t>
  </si>
  <si>
    <t>FEFRI NURCAHYO
NIP. 199302132025211043</t>
  </si>
  <si>
    <t>DIDIK ISTYAWAN
NIP. 19680630 201001 1 001</t>
  </si>
  <si>
    <t>Pengatur Tingkat I (II/d)
01/04/2022</t>
  </si>
  <si>
    <t>ISNIAWATY RAHMADYANI, SH
NIP. 19830607 200212 2 002</t>
  </si>
  <si>
    <t>Penata (III/c)
01/04/2025</t>
  </si>
  <si>
    <t>AJI NUR CAHYO
NIP. 19821025 200901 1 001</t>
  </si>
  <si>
    <t>Penata Muda (III/a)
01/04/2025</t>
  </si>
  <si>
    <t>AMIRUDDIN ALAMSYAH
NIP. 199805162025211005</t>
  </si>
  <si>
    <t>V
01/03/2025</t>
  </si>
  <si>
    <t>YUNI ASIYANTO
NIP. 19850616 200501 1 002</t>
  </si>
  <si>
    <t>Pengatur Tingkat I (II/d)
01/04/2025</t>
  </si>
  <si>
    <t>WAWAN SISWANTO
NIP. 19770112 200701 1 012</t>
  </si>
  <si>
    <t>Penata Muda (III/a)
01/10/2023</t>
  </si>
  <si>
    <t>MUHAMMAD YUSUF, A.Md
NIP. 19881014 201101 1 004</t>
  </si>
  <si>
    <t>Penata Muda Tingkat I (III/b)
01/04/2023</t>
  </si>
  <si>
    <t>OKI DWITANTO
NIP. 19821013 200901 1 002</t>
  </si>
  <si>
    <t>ASRI PUSPITANINGRUM
NIP. 199908262025212019</t>
  </si>
  <si>
    <t>MUH. ALIFI
NIP. 19730106 200212 1 006</t>
  </si>
  <si>
    <t>BISRI RUSMAWAN
NIP. 19821226 200801 1 010</t>
  </si>
  <si>
    <t>Pengatur (II/c)
01/04/2024</t>
  </si>
  <si>
    <t>AGUS YULIANTO
NIP. 197107252025211010</t>
  </si>
  <si>
    <t>YATINI, S.Sos
NIP. 19810502 200212 2 005</t>
  </si>
  <si>
    <t>RIYANTO
NIP. 197305122025211008</t>
  </si>
  <si>
    <t>JAKA PURYANA
NIP. 197308221996021001</t>
  </si>
  <si>
    <t>Penata Muda Tingkat I (III/b)
01/04/2015</t>
  </si>
  <si>
    <t>TOTOK SUPRIYANTO
19720709 200312 1 004</t>
  </si>
  <si>
    <t>Penata Muda (III/a)
01/04/2020</t>
  </si>
  <si>
    <t>BAMBANG PARIKESIT
NIP. 199910202025211003</t>
  </si>
  <si>
    <t>YEA THORIQUL HIFZAL M.
NIP. 200207292025211001</t>
  </si>
  <si>
    <t>DIAH ATHIFAH NUR AULIA
NIP. 200304012025212001</t>
  </si>
  <si>
    <t>Penata Kelola Hukum dan Perundang-undangan</t>
  </si>
  <si>
    <t>FELBIANISA GRANDIS P.
NIP. 200108082025212011</t>
  </si>
  <si>
    <t>Penyusun Materi Hukum dan Perundang-undangan</t>
  </si>
  <si>
    <t>ANANG SUHARJANTO
NIP. 197504272025211006</t>
  </si>
  <si>
    <t>I
01/03/2025</t>
  </si>
  <si>
    <t>JUADI
NIP. 197603312025211005</t>
  </si>
  <si>
    <t>JOKO MURYANTO
NIP. 198010182025211018</t>
  </si>
  <si>
    <t>Perancang Peraturan Perundang-Undangan Ahli Muda</t>
  </si>
  <si>
    <t>SAID
NIP. 197506012025211014</t>
  </si>
  <si>
    <t>RADINO
NIP. 196803152025211004</t>
  </si>
  <si>
    <t>Perancang Peraturan Perundang-Undangan Ahli Pertama</t>
  </si>
  <si>
    <t>DESEMBER 2025</t>
  </si>
  <si>
    <t>Pembina Utama Muda (IV/c)</t>
  </si>
  <si>
    <t>Kepala Sub Bagian Tata Usaha dan Kepegawaian</t>
  </si>
  <si>
    <t>PPPK</t>
  </si>
  <si>
    <t>EKO SULISTYO</t>
  </si>
  <si>
    <t>198601182025211079</t>
  </si>
  <si>
    <t>ONENG AL KHORY'AH</t>
  </si>
  <si>
    <t>199808102025212079</t>
  </si>
  <si>
    <t>DENTO TRI ATMOKO</t>
  </si>
  <si>
    <t>197110242025211027</t>
  </si>
  <si>
    <t>199910222025212052</t>
  </si>
  <si>
    <t>OCTA LUTFIA FATAYATI</t>
  </si>
  <si>
    <t>BISRI RUSBANDONI</t>
  </si>
  <si>
    <t>198606222025211077</t>
  </si>
  <si>
    <t>IVAN DENI SASMITA</t>
  </si>
  <si>
    <t>198409212025211075</t>
  </si>
  <si>
    <t>HADI PURNOMO</t>
  </si>
  <si>
    <t>197711262025211032</t>
  </si>
  <si>
    <t>198203082025211073</t>
  </si>
  <si>
    <t>RUBIYANTO WARDANA</t>
  </si>
  <si>
    <t>198804062025211104</t>
  </si>
  <si>
    <t>KAMUDIUN</t>
  </si>
  <si>
    <t>198204252025211075</t>
  </si>
  <si>
    <t>HARIYONO</t>
  </si>
  <si>
    <t>198001302025211053</t>
  </si>
  <si>
    <t>PUGUH RAHMAD</t>
  </si>
  <si>
    <t>200112082025211022</t>
  </si>
  <si>
    <t>DIPTA TRI RISMAWATI</t>
  </si>
  <si>
    <t>200303262025212009</t>
  </si>
  <si>
    <t>ACHMAD DWI SAPUTRA</t>
  </si>
  <si>
    <t>198809042025211100</t>
  </si>
  <si>
    <t>DAFTAR PEGAWAI PEMERINTAH DENGAN PERJANJIAN KERJA PARUH WAKTU
PADA SEKRETARIAT DPRD
DESEMBER 2025</t>
  </si>
  <si>
    <t>NIK</t>
  </si>
  <si>
    <t>TEMPAT LAHIR</t>
  </si>
  <si>
    <t>TANGGAL LAHIR</t>
  </si>
  <si>
    <t>USIA PER 1 JANUARI 2024</t>
  </si>
  <si>
    <t>MASA KERJA</t>
  </si>
  <si>
    <t>SK PENGANGKATAN PERTAMA</t>
  </si>
  <si>
    <t>PENDIDIKAN</t>
  </si>
  <si>
    <t>KETERANGAN</t>
  </si>
  <si>
    <t xml:space="preserve">TAHUN </t>
  </si>
  <si>
    <t>BULAN</t>
  </si>
  <si>
    <t>NO SK</t>
  </si>
  <si>
    <t>TANGGAL SK</t>
  </si>
  <si>
    <t>JABATAN YANG MENGANGKAT</t>
  </si>
  <si>
    <t>JENJANG</t>
  </si>
  <si>
    <t>PROGRAM STUDI</t>
  </si>
  <si>
    <t>3519136312980005</t>
  </si>
  <si>
    <t>MUTHYA CAHYANI PUTRIABHIMATA</t>
  </si>
  <si>
    <t>MADIUN</t>
  </si>
  <si>
    <t>814/07/402.040/2022</t>
  </si>
  <si>
    <t>03/01/2022</t>
  </si>
  <si>
    <t>SEKRETARIS DPRD</t>
  </si>
  <si>
    <t>S1</t>
  </si>
  <si>
    <t>TEKNIK INFORMATIKA</t>
  </si>
  <si>
    <t>Perseorangan</t>
  </si>
  <si>
    <t>3519112210960004</t>
  </si>
  <si>
    <t>TRI KURNIAWAN</t>
  </si>
  <si>
    <t>TENAGA KEBERSIHAN</t>
  </si>
  <si>
    <t>-</t>
  </si>
  <si>
    <t>SMK</t>
  </si>
  <si>
    <t>TEKNIK KETENAGALISTRIKAN</t>
  </si>
  <si>
    <t>Outsourcing</t>
  </si>
  <si>
    <t>3519096804960001</t>
  </si>
  <si>
    <t>ELSA ADHA PRATIWI</t>
  </si>
  <si>
    <t>RESEPSIONIS</t>
  </si>
  <si>
    <t>1329/BHAKTI-HR/PKWT/I/2020</t>
  </si>
  <si>
    <t>PT. BHAKTI SATRIA PERSADA</t>
  </si>
  <si>
    <t>KESEHATAN MASYARAKAT</t>
  </si>
  <si>
    <t>3525144702980003</t>
  </si>
  <si>
    <t>HERLIYANA GUSTIWATI R</t>
  </si>
  <si>
    <t>NGANJUK</t>
  </si>
  <si>
    <t>1328/BHAKTI-HR/PKWT/I/2020</t>
  </si>
  <si>
    <t>ADMINISTRASI PERKANTORAN</t>
  </si>
  <si>
    <t>3519151101970001</t>
  </si>
  <si>
    <t>YOGIK DENHAFI</t>
  </si>
  <si>
    <t>814/17/402.040/2021</t>
  </si>
  <si>
    <t>04/01/2021</t>
  </si>
  <si>
    <t>SMA</t>
  </si>
  <si>
    <t>IPS</t>
  </si>
  <si>
    <t>3519130702920000</t>
  </si>
  <si>
    <t>ANGGA DINAS PRAJAKA</t>
  </si>
  <si>
    <t>814/18/402.040/2021</t>
  </si>
  <si>
    <t>3519122807870001</t>
  </si>
  <si>
    <t>SAMSUL HADI</t>
  </si>
  <si>
    <t>SATPAM</t>
  </si>
  <si>
    <t>1160/BHAKTI-HR/PKWT/I/2017</t>
  </si>
  <si>
    <t>TEKNIK MESIN</t>
  </si>
  <si>
    <t>3519111812940001</t>
  </si>
  <si>
    <t>TUNJUNG MARYONO</t>
  </si>
  <si>
    <t>1161/BHAKTI-HR/PKWT/I/2017</t>
  </si>
  <si>
    <t>3519090801940002</t>
  </si>
  <si>
    <t>NOVAN HAKIM MUDA</t>
  </si>
  <si>
    <t>3519112712780001</t>
  </si>
  <si>
    <t>BUDI HARIONO</t>
  </si>
  <si>
    <t>SURABAYA</t>
  </si>
  <si>
    <t>1163/BHAKTI-HR/PKWT/I/2017</t>
  </si>
  <si>
    <t>OTOMOTIF</t>
  </si>
  <si>
    <t>3519102808840002</t>
  </si>
  <si>
    <t>PURNOMO</t>
  </si>
  <si>
    <t>1159/BHAKTI-HR/PKWT/I/2017</t>
  </si>
  <si>
    <t>3519150205920002</t>
  </si>
  <si>
    <t>ARIF CAHYONO</t>
  </si>
  <si>
    <t>1155/BHAKTI-HR/PKWT/I/2017</t>
  </si>
  <si>
    <t>3519140409880001</t>
  </si>
  <si>
    <t>TRIONO SUJARWO</t>
  </si>
  <si>
    <t>004/Sket-BhSP/JATIM/I/2020</t>
  </si>
  <si>
    <t>3519110503950001</t>
  </si>
  <si>
    <t>DEDI SETIADI</t>
  </si>
  <si>
    <t>003/Sket-BhSP/JATIM/I/2020</t>
  </si>
  <si>
    <t>3519150807890001</t>
  </si>
  <si>
    <t>ROBY YANUAR KHUSAINI</t>
  </si>
  <si>
    <t>001/Sket-BhSP/JATIM/I/2020</t>
  </si>
  <si>
    <t>ILMU KOMUNIKASI</t>
  </si>
  <si>
    <t>3519100705030002</t>
  </si>
  <si>
    <t>SACHRUL FAJAR FATHONI</t>
  </si>
  <si>
    <t>3519121108920001</t>
  </si>
  <si>
    <t>AKHMAD MUJIB</t>
  </si>
  <si>
    <t>MESIN</t>
  </si>
  <si>
    <t>198210252009011001</t>
  </si>
  <si>
    <t>PANGKAT, GOLONGAN/RUANG</t>
  </si>
  <si>
    <t xml:space="preserve">Pembina Utama Muda, IV/c  </t>
  </si>
  <si>
    <t>Pembina Tingkat I, IV/b</t>
  </si>
  <si>
    <t>Pembina, IV/a</t>
  </si>
  <si>
    <t>Penata Tingkat I, III/d</t>
  </si>
  <si>
    <t>Penata, III/c</t>
  </si>
  <si>
    <t>Ahli Pertama (IX)</t>
  </si>
  <si>
    <t>Penata Muda Tingkat I, III/b</t>
  </si>
  <si>
    <t>Penata Muda, III/a</t>
  </si>
  <si>
    <t>Pengatur Tingkat I, II/d</t>
  </si>
  <si>
    <t>Pengatur, II/c</t>
  </si>
  <si>
    <t>I</t>
  </si>
  <si>
    <t>DAFTAR HADIR SEKRETARIAT DPRD KABUPATEN MADIUN</t>
  </si>
  <si>
    <t>TANDA TANGAN</t>
  </si>
  <si>
    <t>Tenaga Informasi dan Teknologi</t>
  </si>
  <si>
    <t>HARI               : JUM'AT</t>
  </si>
  <si>
    <t>TANGGAL     : 6 FEBRUARI 2026</t>
  </si>
  <si>
    <t>ACARA          : RAPAT STAF EVALUASI KEGIATAN BULAN JANUARI DAN PERSIAPAN FASILITASI AGENDA DPRD BULAN FEBRUARI</t>
  </si>
  <si>
    <t>DYAH CAHYANENGSEH, A.Md</t>
  </si>
  <si>
    <t>Pengelola Kepegawaian</t>
  </si>
  <si>
    <t>SPT</t>
  </si>
  <si>
    <t>199411042020122012</t>
  </si>
  <si>
    <t>WIGI AYU EKA RINDYASARI, S.Tr. Tra</t>
  </si>
  <si>
    <t>200201012025042001</t>
  </si>
  <si>
    <t>Penyusun Risalah</t>
  </si>
  <si>
    <t>DAFTAR PEGAWAI NEGERI SIPIL
PADA SEKRETARIAT DPRD KAB. MADIUN
JANUARI 2026</t>
  </si>
  <si>
    <t>MUTHYA CAHYANI PUTRIABHIMATA, S. Kom</t>
  </si>
  <si>
    <t>TENAGA INFORMASI DAN TEKNOLOGI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</si>
</sst>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name val="Bookman Old Style"/>
      <family val="1"/>
    </font>
    <font>
      <sz val="10"/>
      <name val="Arial"/>
      <family val="2"/>
    </font>
    <font>
      <sz val="12"/>
      <name val="Bookman Old Style"/>
      <family val="1"/>
    </font>
    <font>
      <sz val="11"/>
      <name val="Bookman Old Style"/>
      <family val="1"/>
    </font>
    <font>
      <sz val="11"/>
      <color theme="1"/>
      <name val="Bookman Old Style"/>
      <family val="1"/>
    </font>
    <font>
      <sz val="11"/>
      <color theme="1"/>
      <name val="Arial"/>
      <family val="2"/>
    </font>
    <font>
      <b/>
      <i/>
      <sz val="9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0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/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9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/>
    </xf>
    <xf numFmtId="0" fontId="7" fillId="0" borderId="1" xfId="2" applyFont="1" applyBorder="1" applyAlignment="1">
      <alignment horizontal="center" vertical="top" wrapText="1"/>
    </xf>
    <xf numFmtId="0" fontId="9" fillId="0" borderId="11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4" xfId="0" applyBorder="1"/>
    <xf numFmtId="0" fontId="7" fillId="0" borderId="10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0" fillId="0" borderId="8" xfId="0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0" borderId="10" xfId="0" applyBorder="1"/>
    <xf numFmtId="0" fontId="0" fillId="0" borderId="9" xfId="0" applyBorder="1"/>
    <xf numFmtId="0" fontId="0" fillId="0" borderId="15" xfId="0" applyBorder="1"/>
    <xf numFmtId="0" fontId="9" fillId="0" borderId="11" xfId="2" applyFont="1" applyBorder="1" applyAlignment="1">
      <alignment vertical="center" wrapText="1"/>
    </xf>
    <xf numFmtId="0" fontId="7" fillId="0" borderId="10" xfId="2" applyFont="1" applyBorder="1" applyAlignment="1">
      <alignment vertical="center" wrapText="1"/>
    </xf>
    <xf numFmtId="0" fontId="7" fillId="0" borderId="1" xfId="2" applyFont="1" applyBorder="1" applyAlignment="1">
      <alignment horizontal="left" vertical="center" wrapText="1"/>
    </xf>
    <xf numFmtId="0" fontId="7" fillId="0" borderId="1" xfId="2" applyFont="1" applyBorder="1" applyAlignment="1">
      <alignment vertical="center" wrapText="1"/>
    </xf>
    <xf numFmtId="0" fontId="9" fillId="0" borderId="1" xfId="2" applyFont="1" applyBorder="1" applyAlignment="1">
      <alignment horizontal="left" vertical="center" wrapText="1"/>
    </xf>
    <xf numFmtId="0" fontId="10" fillId="0" borderId="11" xfId="2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9" fillId="0" borderId="1" xfId="2" applyFont="1" applyBorder="1" applyAlignment="1">
      <alignment vertical="center" wrapText="1"/>
    </xf>
    <xf numFmtId="0" fontId="10" fillId="0" borderId="1" xfId="2" applyFont="1" applyBorder="1" applyAlignment="1">
      <alignment vertical="center" wrapText="1"/>
    </xf>
    <xf numFmtId="0" fontId="11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9" fillId="0" borderId="12" xfId="2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14" fontId="14" fillId="0" borderId="16" xfId="0" applyNumberFormat="1" applyFont="1" applyBorder="1" applyAlignment="1">
      <alignment horizontal="right"/>
    </xf>
    <xf numFmtId="164" fontId="14" fillId="0" borderId="16" xfId="0" quotePrefix="1" applyNumberFormat="1" applyFont="1" applyBorder="1"/>
    <xf numFmtId="14" fontId="14" fillId="0" borderId="16" xfId="0" applyNumberFormat="1" applyFont="1" applyBorder="1"/>
    <xf numFmtId="14" fontId="14" fillId="0" borderId="16" xfId="0" applyNumberFormat="1" applyFont="1" applyBorder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0" fillId="0" borderId="11" xfId="2" applyFont="1" applyBorder="1" applyAlignment="1">
      <alignment horizontal="center" vertical="center" wrapText="1"/>
    </xf>
    <xf numFmtId="0" fontId="10" fillId="0" borderId="12" xfId="2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left" vertical="center" wrapText="1"/>
    </xf>
    <xf numFmtId="0" fontId="7" fillId="0" borderId="9" xfId="2" applyFont="1" applyBorder="1" applyAlignment="1">
      <alignment horizontal="left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4" fillId="0" borderId="1" xfId="0" applyFont="1" applyFill="1" applyBorder="1"/>
    <xf numFmtId="0" fontId="6" fillId="0" borderId="0" xfId="0" applyFont="1" applyAlignment="1">
      <alignment vertical="top"/>
    </xf>
    <xf numFmtId="49" fontId="4" fillId="0" borderId="1" xfId="0" quotePrefix="1" applyNumberFormat="1" applyFont="1" applyBorder="1"/>
  </cellXfs>
  <cellStyles count="3">
    <cellStyle name="Normal" xfId="0" builtinId="0"/>
    <cellStyle name="Normal 6" xfId="2" xr:uid="{A025CA1F-C1DE-4FD5-9300-FDD48951F502}"/>
    <cellStyle name="Normal 8" xfId="1" xr:uid="{114AED23-8ADF-4574-B28F-E47183097C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lumes\MATH\004.%20Kegiatan%20Kesejahteraan%20SDM\J:\nomenklator\Mapping%20JFU%20-%20Arm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is"/>
      <sheetName val="Sheet1"/>
      <sheetName val="Data Jab Raw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3C56-1E91-FF43-A8C1-4F718A0A8746}">
  <dimension ref="A1:H43"/>
  <sheetViews>
    <sheetView workbookViewId="0">
      <selection activeCell="A2" sqref="A2"/>
    </sheetView>
  </sheetViews>
  <sheetFormatPr defaultColWidth="11.42578125" defaultRowHeight="15" x14ac:dyDescent="0.25"/>
  <cols>
    <col min="1" max="1" width="5.28515625" style="6" customWidth="1"/>
    <col min="2" max="2" width="40.85546875" bestFit="1" customWidth="1"/>
    <col min="3" max="3" width="24.85546875" style="10" bestFit="1" customWidth="1"/>
    <col min="4" max="4" width="28.7109375" style="10" customWidth="1"/>
    <col min="5" max="5" width="60.5703125" bestFit="1" customWidth="1"/>
    <col min="6" max="6" width="17.140625" style="7" bestFit="1" customWidth="1"/>
    <col min="7" max="8" width="11.42578125" customWidth="1"/>
  </cols>
  <sheetData>
    <row r="1" spans="1:8" ht="57" customHeight="1" x14ac:dyDescent="0.25">
      <c r="A1" s="64" t="s">
        <v>339</v>
      </c>
      <c r="B1" s="64"/>
      <c r="C1" s="64"/>
      <c r="D1" s="64"/>
      <c r="E1" s="64"/>
      <c r="F1" s="64"/>
      <c r="G1" s="99"/>
      <c r="H1" s="99"/>
    </row>
    <row r="3" spans="1:8" ht="31.5" x14ac:dyDescent="0.25">
      <c r="A3" s="3" t="s">
        <v>24</v>
      </c>
      <c r="B3" s="3" t="s">
        <v>25</v>
      </c>
      <c r="C3" s="8" t="s">
        <v>26</v>
      </c>
      <c r="D3" s="8" t="s">
        <v>314</v>
      </c>
      <c r="E3" s="3" t="s">
        <v>27</v>
      </c>
      <c r="F3" s="3" t="s">
        <v>29</v>
      </c>
    </row>
    <row r="4" spans="1:8" ht="15.75" x14ac:dyDescent="0.25">
      <c r="A4" s="5">
        <v>1</v>
      </c>
      <c r="B4" s="98" t="s">
        <v>30</v>
      </c>
      <c r="C4" s="9" t="s">
        <v>80</v>
      </c>
      <c r="D4" s="9" t="s">
        <v>315</v>
      </c>
      <c r="E4" s="4" t="s">
        <v>102</v>
      </c>
      <c r="F4" s="4"/>
    </row>
    <row r="5" spans="1:8" ht="15.75" x14ac:dyDescent="0.25">
      <c r="A5" s="5">
        <v>2</v>
      </c>
      <c r="B5" s="98" t="s">
        <v>31</v>
      </c>
      <c r="C5" s="9" t="s">
        <v>81</v>
      </c>
      <c r="D5" s="9" t="s">
        <v>316</v>
      </c>
      <c r="E5" s="4" t="s">
        <v>103</v>
      </c>
      <c r="F5" s="4"/>
    </row>
    <row r="6" spans="1:8" ht="15.75" x14ac:dyDescent="0.25">
      <c r="A6" s="5">
        <v>3</v>
      </c>
      <c r="B6" s="98" t="s">
        <v>32</v>
      </c>
      <c r="C6" s="9" t="s">
        <v>82</v>
      </c>
      <c r="D6" s="9" t="s">
        <v>316</v>
      </c>
      <c r="E6" s="4" t="s">
        <v>111</v>
      </c>
      <c r="F6" s="4"/>
    </row>
    <row r="7" spans="1:8" ht="15.75" x14ac:dyDescent="0.25">
      <c r="A7" s="5">
        <v>4</v>
      </c>
      <c r="B7" s="98" t="s">
        <v>33</v>
      </c>
      <c r="C7" s="9" t="s">
        <v>83</v>
      </c>
      <c r="D7" s="9" t="s">
        <v>317</v>
      </c>
      <c r="E7" s="4" t="s">
        <v>105</v>
      </c>
      <c r="F7" s="4"/>
    </row>
    <row r="8" spans="1:8" ht="15.75" x14ac:dyDescent="0.25">
      <c r="A8" s="5">
        <v>5</v>
      </c>
      <c r="B8" s="98" t="s">
        <v>34</v>
      </c>
      <c r="C8" s="9" t="s">
        <v>84</v>
      </c>
      <c r="D8" s="9" t="s">
        <v>318</v>
      </c>
      <c r="E8" s="4" t="s">
        <v>108</v>
      </c>
      <c r="F8" s="4"/>
    </row>
    <row r="9" spans="1:8" ht="15.75" x14ac:dyDescent="0.25">
      <c r="A9" s="5">
        <v>6</v>
      </c>
      <c r="B9" s="98" t="s">
        <v>36</v>
      </c>
      <c r="C9" s="9" t="s">
        <v>86</v>
      </c>
      <c r="D9" s="9" t="s">
        <v>319</v>
      </c>
      <c r="E9" s="4" t="s">
        <v>104</v>
      </c>
      <c r="F9" s="4"/>
    </row>
    <row r="10" spans="1:8" ht="15.75" x14ac:dyDescent="0.25">
      <c r="A10" s="5">
        <v>7</v>
      </c>
      <c r="B10" s="98" t="s">
        <v>35</v>
      </c>
      <c r="C10" s="9" t="s">
        <v>85</v>
      </c>
      <c r="D10" s="9" t="s">
        <v>318</v>
      </c>
      <c r="E10" s="4" t="s">
        <v>196</v>
      </c>
      <c r="F10" s="4"/>
    </row>
    <row r="11" spans="1:8" ht="15.75" x14ac:dyDescent="0.25">
      <c r="A11" s="5">
        <v>8</v>
      </c>
      <c r="B11" s="98" t="s">
        <v>37</v>
      </c>
      <c r="C11" s="9" t="s">
        <v>87</v>
      </c>
      <c r="D11" s="9" t="s">
        <v>319</v>
      </c>
      <c r="E11" s="4" t="s">
        <v>6</v>
      </c>
      <c r="F11" s="4"/>
    </row>
    <row r="12" spans="1:8" ht="15.75" x14ac:dyDescent="0.25">
      <c r="A12" s="5">
        <v>9</v>
      </c>
      <c r="B12" s="98" t="s">
        <v>40</v>
      </c>
      <c r="C12" s="9" t="s">
        <v>91</v>
      </c>
      <c r="D12" s="9" t="s">
        <v>321</v>
      </c>
      <c r="E12" s="4" t="s">
        <v>6</v>
      </c>
      <c r="F12" s="4"/>
    </row>
    <row r="13" spans="1:8" ht="15.75" x14ac:dyDescent="0.25">
      <c r="A13" s="5">
        <v>10</v>
      </c>
      <c r="B13" s="98" t="s">
        <v>43</v>
      </c>
      <c r="C13" s="9" t="s">
        <v>94</v>
      </c>
      <c r="D13" s="9" t="s">
        <v>321</v>
      </c>
      <c r="E13" s="4" t="s">
        <v>6</v>
      </c>
      <c r="F13" s="4"/>
    </row>
    <row r="14" spans="1:8" ht="15.75" x14ac:dyDescent="0.25">
      <c r="A14" s="5">
        <v>11</v>
      </c>
      <c r="B14" s="98" t="s">
        <v>44</v>
      </c>
      <c r="C14" s="9" t="s">
        <v>313</v>
      </c>
      <c r="D14" s="9" t="s">
        <v>322</v>
      </c>
      <c r="E14" s="4" t="s">
        <v>6</v>
      </c>
      <c r="F14" s="4"/>
    </row>
    <row r="15" spans="1:8" ht="15.75" x14ac:dyDescent="0.25">
      <c r="A15" s="5">
        <v>12</v>
      </c>
      <c r="B15" s="98" t="s">
        <v>106</v>
      </c>
      <c r="C15" s="9" t="s">
        <v>88</v>
      </c>
      <c r="D15" s="9" t="s">
        <v>319</v>
      </c>
      <c r="E15" s="4" t="s">
        <v>8</v>
      </c>
      <c r="F15" s="4"/>
    </row>
    <row r="16" spans="1:8" ht="15.75" x14ac:dyDescent="0.25">
      <c r="A16" s="5">
        <v>13</v>
      </c>
      <c r="B16" s="98" t="s">
        <v>38</v>
      </c>
      <c r="C16" s="9" t="s">
        <v>89</v>
      </c>
      <c r="D16" s="9" t="s">
        <v>321</v>
      </c>
      <c r="E16" s="4" t="s">
        <v>8</v>
      </c>
      <c r="F16" s="4" t="s">
        <v>118</v>
      </c>
    </row>
    <row r="17" spans="1:6" ht="15.75" x14ac:dyDescent="0.25">
      <c r="A17" s="5">
        <v>14</v>
      </c>
      <c r="B17" s="98" t="s">
        <v>39</v>
      </c>
      <c r="C17" s="9" t="s">
        <v>90</v>
      </c>
      <c r="D17" s="9" t="s">
        <v>321</v>
      </c>
      <c r="E17" s="4" t="s">
        <v>8</v>
      </c>
      <c r="F17" s="4"/>
    </row>
    <row r="18" spans="1:6" ht="15.75" x14ac:dyDescent="0.25">
      <c r="A18" s="5">
        <v>15</v>
      </c>
      <c r="B18" s="98" t="s">
        <v>41</v>
      </c>
      <c r="C18" s="9" t="s">
        <v>92</v>
      </c>
      <c r="D18" s="9" t="s">
        <v>321</v>
      </c>
      <c r="E18" s="4" t="s">
        <v>8</v>
      </c>
      <c r="F18" s="4"/>
    </row>
    <row r="19" spans="1:6" ht="15.75" x14ac:dyDescent="0.25">
      <c r="A19" s="5">
        <v>16</v>
      </c>
      <c r="B19" s="98" t="s">
        <v>42</v>
      </c>
      <c r="C19" s="9" t="s">
        <v>93</v>
      </c>
      <c r="D19" s="9" t="s">
        <v>321</v>
      </c>
      <c r="E19" s="4" t="s">
        <v>8</v>
      </c>
      <c r="F19" s="4"/>
    </row>
    <row r="20" spans="1:6" ht="15.75" x14ac:dyDescent="0.25">
      <c r="A20" s="5">
        <v>17</v>
      </c>
      <c r="B20" s="98" t="s">
        <v>109</v>
      </c>
      <c r="C20" s="9" t="s">
        <v>95</v>
      </c>
      <c r="D20" s="9" t="s">
        <v>322</v>
      </c>
      <c r="E20" s="4" t="s">
        <v>8</v>
      </c>
      <c r="F20" s="4"/>
    </row>
    <row r="21" spans="1:6" ht="15.75" x14ac:dyDescent="0.25">
      <c r="A21" s="5">
        <v>18</v>
      </c>
      <c r="B21" s="98" t="s">
        <v>110</v>
      </c>
      <c r="C21" s="9" t="s">
        <v>98</v>
      </c>
      <c r="D21" s="9" t="s">
        <v>323</v>
      </c>
      <c r="E21" s="4" t="s">
        <v>8</v>
      </c>
      <c r="F21" s="4" t="s">
        <v>119</v>
      </c>
    </row>
    <row r="22" spans="1:6" ht="15.75" x14ac:dyDescent="0.25">
      <c r="A22" s="5">
        <v>19</v>
      </c>
      <c r="B22" s="98" t="s">
        <v>45</v>
      </c>
      <c r="C22" s="9" t="s">
        <v>96</v>
      </c>
      <c r="D22" s="9" t="s">
        <v>322</v>
      </c>
      <c r="E22" s="4" t="s">
        <v>9</v>
      </c>
      <c r="F22" s="4"/>
    </row>
    <row r="23" spans="1:6" ht="15.75" x14ac:dyDescent="0.25">
      <c r="A23" s="5">
        <v>20</v>
      </c>
      <c r="B23" s="98" t="s">
        <v>46</v>
      </c>
      <c r="C23" s="9" t="s">
        <v>97</v>
      </c>
      <c r="D23" s="9" t="s">
        <v>322</v>
      </c>
      <c r="E23" s="4" t="s">
        <v>9</v>
      </c>
      <c r="F23" s="4"/>
    </row>
    <row r="24" spans="1:6" ht="15.75" x14ac:dyDescent="0.25">
      <c r="A24" s="5">
        <v>21</v>
      </c>
      <c r="B24" s="98" t="s">
        <v>47</v>
      </c>
      <c r="C24" s="9" t="s">
        <v>99</v>
      </c>
      <c r="D24" s="9" t="s">
        <v>324</v>
      </c>
      <c r="E24" s="4" t="s">
        <v>9</v>
      </c>
      <c r="F24" s="4"/>
    </row>
    <row r="25" spans="1:6" ht="15.75" x14ac:dyDescent="0.25">
      <c r="A25" s="5">
        <v>22</v>
      </c>
      <c r="B25" s="98" t="s">
        <v>332</v>
      </c>
      <c r="C25" s="100" t="s">
        <v>335</v>
      </c>
      <c r="D25" s="9" t="s">
        <v>324</v>
      </c>
      <c r="E25" s="4" t="s">
        <v>333</v>
      </c>
      <c r="F25" s="4" t="s">
        <v>334</v>
      </c>
    </row>
    <row r="26" spans="1:6" ht="15.75" x14ac:dyDescent="0.25">
      <c r="A26" s="5">
        <v>23</v>
      </c>
      <c r="B26" s="98" t="s">
        <v>336</v>
      </c>
      <c r="C26" s="100" t="s">
        <v>337</v>
      </c>
      <c r="D26" s="9" t="s">
        <v>322</v>
      </c>
      <c r="E26" s="4" t="s">
        <v>338</v>
      </c>
      <c r="F26" s="4" t="s">
        <v>334</v>
      </c>
    </row>
    <row r="27" spans="1:6" ht="15.75" x14ac:dyDescent="0.25">
      <c r="A27" s="5">
        <v>24</v>
      </c>
      <c r="B27" s="98" t="s">
        <v>48</v>
      </c>
      <c r="C27" s="9" t="s">
        <v>100</v>
      </c>
      <c r="D27" s="9" t="s">
        <v>320</v>
      </c>
      <c r="E27" s="4" t="s">
        <v>113</v>
      </c>
      <c r="F27" s="4" t="s">
        <v>197</v>
      </c>
    </row>
    <row r="28" spans="1:6" ht="15.75" x14ac:dyDescent="0.25">
      <c r="A28" s="5">
        <v>25</v>
      </c>
      <c r="B28" s="98" t="s">
        <v>49</v>
      </c>
      <c r="C28" s="9" t="s">
        <v>101</v>
      </c>
      <c r="D28" s="9" t="s">
        <v>320</v>
      </c>
      <c r="E28" s="4" t="s">
        <v>114</v>
      </c>
      <c r="F28" s="4" t="s">
        <v>197</v>
      </c>
    </row>
    <row r="29" spans="1:6" ht="15.75" x14ac:dyDescent="0.25">
      <c r="A29" s="5">
        <v>26</v>
      </c>
      <c r="B29" s="98" t="s">
        <v>50</v>
      </c>
      <c r="C29" s="9" t="s">
        <v>65</v>
      </c>
      <c r="D29" s="9" t="s">
        <v>149</v>
      </c>
      <c r="E29" s="4" t="s">
        <v>9</v>
      </c>
      <c r="F29" s="4" t="s">
        <v>197</v>
      </c>
    </row>
    <row r="30" spans="1:6" ht="15.75" x14ac:dyDescent="0.25">
      <c r="A30" s="5">
        <v>27</v>
      </c>
      <c r="B30" s="98" t="s">
        <v>51</v>
      </c>
      <c r="C30" s="9" t="s">
        <v>66</v>
      </c>
      <c r="D30" s="9" t="s">
        <v>149</v>
      </c>
      <c r="E30" s="4" t="s">
        <v>9</v>
      </c>
      <c r="F30" s="4" t="s">
        <v>197</v>
      </c>
    </row>
    <row r="31" spans="1:6" ht="15.75" x14ac:dyDescent="0.25">
      <c r="A31" s="5">
        <v>28</v>
      </c>
      <c r="B31" s="98" t="s">
        <v>52</v>
      </c>
      <c r="C31" s="9" t="s">
        <v>67</v>
      </c>
      <c r="D31" s="9" t="s">
        <v>149</v>
      </c>
      <c r="E31" s="4" t="s">
        <v>7</v>
      </c>
      <c r="F31" s="4" t="s">
        <v>197</v>
      </c>
    </row>
    <row r="32" spans="1:6" ht="15.75" x14ac:dyDescent="0.25">
      <c r="A32" s="5">
        <v>29</v>
      </c>
      <c r="B32" s="98" t="s">
        <v>53</v>
      </c>
      <c r="C32" s="9" t="s">
        <v>68</v>
      </c>
      <c r="D32" s="9" t="s">
        <v>149</v>
      </c>
      <c r="E32" s="4" t="s">
        <v>7</v>
      </c>
      <c r="F32" s="4" t="s">
        <v>197</v>
      </c>
    </row>
    <row r="33" spans="1:6" ht="15.75" x14ac:dyDescent="0.25">
      <c r="A33" s="5">
        <v>30</v>
      </c>
      <c r="B33" s="98" t="s">
        <v>54</v>
      </c>
      <c r="C33" s="9" t="s">
        <v>69</v>
      </c>
      <c r="D33" s="9" t="s">
        <v>149</v>
      </c>
      <c r="E33" s="4" t="s">
        <v>7</v>
      </c>
      <c r="F33" s="4" t="s">
        <v>197</v>
      </c>
    </row>
    <row r="34" spans="1:6" ht="15.75" x14ac:dyDescent="0.25">
      <c r="A34" s="5">
        <v>31</v>
      </c>
      <c r="B34" s="98" t="s">
        <v>55</v>
      </c>
      <c r="C34" s="9" t="s">
        <v>70</v>
      </c>
      <c r="D34" s="9" t="s">
        <v>149</v>
      </c>
      <c r="E34" s="4" t="s">
        <v>7</v>
      </c>
      <c r="F34" s="4" t="s">
        <v>197</v>
      </c>
    </row>
    <row r="35" spans="1:6" ht="15.75" x14ac:dyDescent="0.25">
      <c r="A35" s="5">
        <v>32</v>
      </c>
      <c r="B35" s="98" t="s">
        <v>56</v>
      </c>
      <c r="C35" s="9" t="s">
        <v>71</v>
      </c>
      <c r="D35" s="9" t="s">
        <v>149</v>
      </c>
      <c r="E35" s="4" t="s">
        <v>7</v>
      </c>
      <c r="F35" s="4" t="s">
        <v>197</v>
      </c>
    </row>
    <row r="36" spans="1:6" ht="15.75" x14ac:dyDescent="0.25">
      <c r="A36" s="5">
        <v>33</v>
      </c>
      <c r="B36" s="98" t="s">
        <v>57</v>
      </c>
      <c r="C36" s="9" t="s">
        <v>72</v>
      </c>
      <c r="D36" s="9" t="s">
        <v>149</v>
      </c>
      <c r="E36" s="4" t="s">
        <v>7</v>
      </c>
      <c r="F36" s="4" t="s">
        <v>197</v>
      </c>
    </row>
    <row r="37" spans="1:6" ht="15.75" x14ac:dyDescent="0.25">
      <c r="A37" s="5">
        <v>34</v>
      </c>
      <c r="B37" s="98" t="s">
        <v>58</v>
      </c>
      <c r="C37" s="9" t="s">
        <v>73</v>
      </c>
      <c r="D37" s="9" t="s">
        <v>149</v>
      </c>
      <c r="E37" s="4" t="s">
        <v>7</v>
      </c>
      <c r="F37" s="4" t="s">
        <v>197</v>
      </c>
    </row>
    <row r="38" spans="1:6" ht="15.75" x14ac:dyDescent="0.25">
      <c r="A38" s="5">
        <v>35</v>
      </c>
      <c r="B38" s="98" t="s">
        <v>59</v>
      </c>
      <c r="C38" s="9" t="s">
        <v>74</v>
      </c>
      <c r="D38" s="9" t="s">
        <v>149</v>
      </c>
      <c r="E38" s="4" t="s">
        <v>7</v>
      </c>
      <c r="F38" s="4" t="s">
        <v>197</v>
      </c>
    </row>
    <row r="39" spans="1:6" ht="15.75" x14ac:dyDescent="0.25">
      <c r="A39" s="5">
        <v>36</v>
      </c>
      <c r="B39" s="98" t="s">
        <v>60</v>
      </c>
      <c r="C39" s="9" t="s">
        <v>75</v>
      </c>
      <c r="D39" s="9" t="s">
        <v>325</v>
      </c>
      <c r="E39" s="4" t="s">
        <v>22</v>
      </c>
      <c r="F39" s="4" t="s">
        <v>197</v>
      </c>
    </row>
    <row r="40" spans="1:6" ht="15.75" x14ac:dyDescent="0.25">
      <c r="A40" s="5">
        <v>37</v>
      </c>
      <c r="B40" s="98" t="s">
        <v>61</v>
      </c>
      <c r="C40" s="9" t="s">
        <v>76</v>
      </c>
      <c r="D40" s="9" t="s">
        <v>325</v>
      </c>
      <c r="E40" s="4" t="s">
        <v>22</v>
      </c>
      <c r="F40" s="4" t="s">
        <v>197</v>
      </c>
    </row>
    <row r="41" spans="1:6" ht="15.75" x14ac:dyDescent="0.25">
      <c r="A41" s="5">
        <v>38</v>
      </c>
      <c r="B41" s="98" t="s">
        <v>62</v>
      </c>
      <c r="C41" s="9" t="s">
        <v>77</v>
      </c>
      <c r="D41" s="9" t="s">
        <v>325</v>
      </c>
      <c r="E41" s="4" t="s">
        <v>22</v>
      </c>
      <c r="F41" s="4" t="s">
        <v>197</v>
      </c>
    </row>
    <row r="42" spans="1:6" ht="15.75" x14ac:dyDescent="0.25">
      <c r="A42" s="5">
        <v>39</v>
      </c>
      <c r="B42" s="98" t="s">
        <v>63</v>
      </c>
      <c r="C42" s="9" t="s">
        <v>78</v>
      </c>
      <c r="D42" s="9" t="s">
        <v>325</v>
      </c>
      <c r="E42" s="4" t="s">
        <v>22</v>
      </c>
      <c r="F42" s="4" t="s">
        <v>197</v>
      </c>
    </row>
    <row r="43" spans="1:6" ht="15.75" x14ac:dyDescent="0.25">
      <c r="A43" s="5">
        <v>40</v>
      </c>
      <c r="B43" s="98" t="s">
        <v>64</v>
      </c>
      <c r="C43" s="9" t="s">
        <v>79</v>
      </c>
      <c r="D43" s="9" t="s">
        <v>325</v>
      </c>
      <c r="E43" s="4" t="s">
        <v>22</v>
      </c>
      <c r="F43" s="4" t="s">
        <v>197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5A6E-CDF4-4AC9-BF1C-A9E6EA5280B5}">
  <dimension ref="A1:H22"/>
  <sheetViews>
    <sheetView workbookViewId="0">
      <selection activeCell="C3" sqref="C3:C17"/>
    </sheetView>
  </sheetViews>
  <sheetFormatPr defaultColWidth="11.42578125" defaultRowHeight="15" x14ac:dyDescent="0.25"/>
  <cols>
    <col min="1" max="1" width="5.28515625" style="6" customWidth="1"/>
    <col min="2" max="3" width="30.28515625" customWidth="1"/>
    <col min="4" max="4" width="24.85546875" style="10" bestFit="1" customWidth="1"/>
    <col min="5" max="5" width="53.140625" bestFit="1" customWidth="1"/>
    <col min="6" max="6" width="16.7109375" style="7" customWidth="1"/>
    <col min="7" max="7" width="27.85546875" customWidth="1"/>
    <col min="8" max="8" width="17.140625" bestFit="1" customWidth="1"/>
  </cols>
  <sheetData>
    <row r="1" spans="1:8" ht="57" customHeight="1" x14ac:dyDescent="0.25">
      <c r="A1" s="64" t="s">
        <v>225</v>
      </c>
      <c r="B1" s="65"/>
      <c r="C1" s="65"/>
      <c r="D1" s="65"/>
      <c r="E1" s="65"/>
      <c r="F1" s="65"/>
      <c r="G1" s="65"/>
      <c r="H1" s="65"/>
    </row>
    <row r="2" spans="1:8" x14ac:dyDescent="0.25">
      <c r="F2"/>
    </row>
    <row r="3" spans="1:8" ht="31.5" x14ac:dyDescent="0.25">
      <c r="A3" s="3" t="s">
        <v>24</v>
      </c>
      <c r="B3" s="3" t="s">
        <v>25</v>
      </c>
      <c r="C3" s="8" t="s">
        <v>26</v>
      </c>
      <c r="D3" s="3" t="s">
        <v>27</v>
      </c>
      <c r="E3" s="3" t="s">
        <v>28</v>
      </c>
      <c r="F3" s="3" t="s">
        <v>29</v>
      </c>
    </row>
    <row r="4" spans="1:8" ht="15.75" x14ac:dyDescent="0.25">
      <c r="A4" s="5">
        <v>1</v>
      </c>
      <c r="B4" s="98" t="s">
        <v>205</v>
      </c>
      <c r="C4" s="9" t="s">
        <v>204</v>
      </c>
      <c r="D4" s="4" t="s">
        <v>9</v>
      </c>
      <c r="E4" s="4" t="s">
        <v>117</v>
      </c>
      <c r="F4" s="4"/>
    </row>
    <row r="5" spans="1:8" ht="15.75" x14ac:dyDescent="0.25">
      <c r="A5" s="5">
        <v>2</v>
      </c>
      <c r="B5" s="98" t="s">
        <v>200</v>
      </c>
      <c r="C5" s="9" t="s">
        <v>201</v>
      </c>
      <c r="D5" s="4" t="s">
        <v>9</v>
      </c>
      <c r="E5" s="4" t="s">
        <v>116</v>
      </c>
      <c r="F5" s="4"/>
    </row>
    <row r="6" spans="1:8" ht="15.75" x14ac:dyDescent="0.25">
      <c r="A6" s="5">
        <v>3</v>
      </c>
      <c r="B6" s="98" t="s">
        <v>221</v>
      </c>
      <c r="C6" s="9" t="s">
        <v>222</v>
      </c>
      <c r="D6" s="4" t="s">
        <v>9</v>
      </c>
      <c r="E6" s="4" t="s">
        <v>116</v>
      </c>
      <c r="F6" s="4"/>
    </row>
    <row r="7" spans="1:8" ht="15.75" x14ac:dyDescent="0.25">
      <c r="A7" s="5">
        <v>4</v>
      </c>
      <c r="B7" s="98" t="s">
        <v>223</v>
      </c>
      <c r="C7" s="9" t="s">
        <v>224</v>
      </c>
      <c r="D7" s="4" t="s">
        <v>9</v>
      </c>
      <c r="E7" s="4" t="s">
        <v>115</v>
      </c>
      <c r="F7" s="4"/>
    </row>
    <row r="8" spans="1:8" ht="15.75" x14ac:dyDescent="0.25">
      <c r="A8" s="5">
        <v>5</v>
      </c>
      <c r="B8" s="98" t="s">
        <v>198</v>
      </c>
      <c r="C8" s="9" t="s">
        <v>199</v>
      </c>
      <c r="D8" s="4" t="s">
        <v>9</v>
      </c>
      <c r="E8" s="4" t="s">
        <v>115</v>
      </c>
      <c r="F8" s="4"/>
    </row>
    <row r="9" spans="1:8" ht="15.75" x14ac:dyDescent="0.25">
      <c r="A9" s="5">
        <v>6</v>
      </c>
      <c r="B9" s="98" t="s">
        <v>202</v>
      </c>
      <c r="C9" s="9" t="s">
        <v>203</v>
      </c>
      <c r="D9" s="4" t="s">
        <v>9</v>
      </c>
      <c r="E9" s="4" t="s">
        <v>115</v>
      </c>
      <c r="F9" s="4"/>
    </row>
    <row r="10" spans="1:8" ht="15.75" x14ac:dyDescent="0.25">
      <c r="A10" s="5">
        <v>7</v>
      </c>
      <c r="B10" s="98" t="s">
        <v>206</v>
      </c>
      <c r="C10" s="9" t="s">
        <v>207</v>
      </c>
      <c r="D10" s="4" t="s">
        <v>9</v>
      </c>
      <c r="E10" s="4" t="s">
        <v>115</v>
      </c>
      <c r="F10" s="4"/>
    </row>
    <row r="11" spans="1:8" ht="15.75" x14ac:dyDescent="0.25">
      <c r="A11" s="5">
        <v>8</v>
      </c>
      <c r="B11" s="98" t="s">
        <v>208</v>
      </c>
      <c r="C11" s="9" t="s">
        <v>209</v>
      </c>
      <c r="D11" s="4" t="s">
        <v>9</v>
      </c>
      <c r="E11" s="4" t="s">
        <v>115</v>
      </c>
      <c r="F11" s="4"/>
    </row>
    <row r="12" spans="1:8" ht="15.75" x14ac:dyDescent="0.25">
      <c r="A12" s="5">
        <v>9</v>
      </c>
      <c r="B12" s="98" t="s">
        <v>210</v>
      </c>
      <c r="C12" s="9" t="s">
        <v>211</v>
      </c>
      <c r="D12" s="4" t="s">
        <v>9</v>
      </c>
      <c r="E12" s="4" t="s">
        <v>115</v>
      </c>
      <c r="F12" s="4"/>
    </row>
    <row r="13" spans="1:8" ht="15.75" x14ac:dyDescent="0.25">
      <c r="A13" s="5">
        <v>10</v>
      </c>
      <c r="B13" s="98" t="s">
        <v>213</v>
      </c>
      <c r="C13" s="9" t="s">
        <v>214</v>
      </c>
      <c r="D13" s="4" t="s">
        <v>9</v>
      </c>
      <c r="E13" s="4" t="s">
        <v>115</v>
      </c>
      <c r="F13" s="4"/>
    </row>
    <row r="14" spans="1:8" ht="15.75" x14ac:dyDescent="0.25">
      <c r="A14" s="5">
        <v>11</v>
      </c>
      <c r="B14" s="98" t="s">
        <v>215</v>
      </c>
      <c r="C14" s="9" t="s">
        <v>216</v>
      </c>
      <c r="D14" s="4" t="s">
        <v>9</v>
      </c>
      <c r="E14" s="4" t="s">
        <v>115</v>
      </c>
      <c r="F14" s="4"/>
    </row>
    <row r="15" spans="1:8" ht="15.75" x14ac:dyDescent="0.25">
      <c r="A15" s="5">
        <v>12</v>
      </c>
      <c r="B15" s="98" t="s">
        <v>51</v>
      </c>
      <c r="C15" s="9" t="s">
        <v>212</v>
      </c>
      <c r="D15" s="4" t="s">
        <v>22</v>
      </c>
      <c r="E15" s="4" t="s">
        <v>115</v>
      </c>
      <c r="F15" s="4"/>
    </row>
    <row r="16" spans="1:8" ht="15.75" x14ac:dyDescent="0.25">
      <c r="A16" s="5">
        <v>13</v>
      </c>
      <c r="B16" s="98" t="s">
        <v>217</v>
      </c>
      <c r="C16" s="9" t="s">
        <v>218</v>
      </c>
      <c r="D16" s="4" t="s">
        <v>22</v>
      </c>
      <c r="E16" s="4" t="s">
        <v>115</v>
      </c>
      <c r="F16" s="4"/>
    </row>
    <row r="17" spans="1:6" ht="15.75" x14ac:dyDescent="0.25">
      <c r="A17" s="5">
        <v>14</v>
      </c>
      <c r="B17" s="98" t="s">
        <v>219</v>
      </c>
      <c r="C17" s="9" t="s">
        <v>220</v>
      </c>
      <c r="D17" s="4" t="s">
        <v>22</v>
      </c>
      <c r="E17" s="4" t="s">
        <v>115</v>
      </c>
      <c r="F17" s="4"/>
    </row>
    <row r="22" spans="1:6" x14ac:dyDescent="0.25">
      <c r="A22" s="6">
        <f>37+14</f>
        <v>51</v>
      </c>
    </row>
  </sheetData>
  <sortState xmlns:xlrd2="http://schemas.microsoft.com/office/spreadsheetml/2017/richdata2" ref="A4:F17">
    <sortCondition ref="A4:A17"/>
  </sortState>
  <mergeCells count="1">
    <mergeCell ref="A1:H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EA559-7FA5-415B-9AE2-2631B34BA40D}">
  <dimension ref="A1:O20"/>
  <sheetViews>
    <sheetView workbookViewId="0">
      <selection activeCell="F18" sqref="F18"/>
    </sheetView>
  </sheetViews>
  <sheetFormatPr defaultRowHeight="15" x14ac:dyDescent="0.25"/>
  <cols>
    <col min="1" max="1" width="4.140625" bestFit="1" customWidth="1"/>
    <col min="2" max="2" width="19.5703125" bestFit="1" customWidth="1"/>
    <col min="3" max="3" width="44.5703125" bestFit="1" customWidth="1"/>
    <col min="4" max="4" width="39.5703125" bestFit="1" customWidth="1"/>
    <col min="5" max="5" width="15.85546875" bestFit="1" customWidth="1"/>
    <col min="6" max="6" width="17.28515625" bestFit="1" customWidth="1"/>
    <col min="10" max="10" width="30.85546875" bestFit="1" customWidth="1"/>
    <col min="11" max="11" width="11.28515625" bestFit="1" customWidth="1"/>
    <col min="13" max="13" width="8.5703125" bestFit="1" customWidth="1"/>
    <col min="14" max="14" width="32.28515625" bestFit="1" customWidth="1"/>
    <col min="15" max="15" width="23.42578125" bestFit="1" customWidth="1"/>
  </cols>
  <sheetData>
    <row r="1" spans="1:15" x14ac:dyDescent="0.25">
      <c r="A1" s="67" t="s">
        <v>24</v>
      </c>
      <c r="B1" s="67" t="s">
        <v>226</v>
      </c>
      <c r="C1" s="67" t="s">
        <v>25</v>
      </c>
      <c r="D1" s="67" t="s">
        <v>27</v>
      </c>
      <c r="E1" s="67" t="s">
        <v>227</v>
      </c>
      <c r="F1" s="67" t="s">
        <v>228</v>
      </c>
      <c r="G1" s="67" t="s">
        <v>229</v>
      </c>
      <c r="H1" s="67" t="s">
        <v>230</v>
      </c>
      <c r="I1" s="67"/>
      <c r="J1" s="67" t="s">
        <v>231</v>
      </c>
      <c r="K1" s="67"/>
      <c r="L1" s="67"/>
      <c r="M1" s="67" t="s">
        <v>232</v>
      </c>
      <c r="N1" s="67"/>
      <c r="O1" s="68" t="s">
        <v>233</v>
      </c>
    </row>
    <row r="2" spans="1:15" ht="57" x14ac:dyDescent="0.25">
      <c r="A2" s="67"/>
      <c r="B2" s="67"/>
      <c r="C2" s="67"/>
      <c r="D2" s="67"/>
      <c r="E2" s="67"/>
      <c r="F2" s="67"/>
      <c r="G2" s="67"/>
      <c r="H2" s="50" t="s">
        <v>234</v>
      </c>
      <c r="I2" s="50" t="s">
        <v>235</v>
      </c>
      <c r="J2" s="50" t="s">
        <v>236</v>
      </c>
      <c r="K2" s="50" t="s">
        <v>237</v>
      </c>
      <c r="L2" s="50" t="s">
        <v>238</v>
      </c>
      <c r="M2" s="50" t="s">
        <v>239</v>
      </c>
      <c r="N2" s="50" t="s">
        <v>240</v>
      </c>
      <c r="O2" s="69"/>
    </row>
    <row r="3" spans="1:15" x14ac:dyDescent="0.25">
      <c r="A3" s="51">
        <v>1</v>
      </c>
      <c r="B3" s="51">
        <v>2</v>
      </c>
      <c r="C3" s="51">
        <v>3</v>
      </c>
      <c r="D3" s="51">
        <v>4</v>
      </c>
      <c r="E3" s="51">
        <v>5</v>
      </c>
      <c r="F3" s="51">
        <v>6</v>
      </c>
      <c r="G3" s="51">
        <v>7</v>
      </c>
      <c r="H3" s="51">
        <v>8</v>
      </c>
      <c r="I3" s="51">
        <v>9</v>
      </c>
      <c r="J3" s="51">
        <v>10</v>
      </c>
      <c r="K3" s="51">
        <v>11</v>
      </c>
      <c r="L3" s="51">
        <v>12</v>
      </c>
      <c r="M3" s="51">
        <v>13</v>
      </c>
      <c r="N3" s="51">
        <v>14</v>
      </c>
      <c r="O3" s="52">
        <v>15</v>
      </c>
    </row>
    <row r="4" spans="1:15" x14ac:dyDescent="0.25">
      <c r="A4" s="53">
        <v>1</v>
      </c>
      <c r="B4" s="54" t="s">
        <v>241</v>
      </c>
      <c r="C4" s="54" t="s">
        <v>340</v>
      </c>
      <c r="D4" s="54" t="s">
        <v>341</v>
      </c>
      <c r="E4" s="54" t="s">
        <v>243</v>
      </c>
      <c r="F4" s="55">
        <v>36152</v>
      </c>
      <c r="G4" s="54">
        <v>25</v>
      </c>
      <c r="H4" s="54">
        <v>2</v>
      </c>
      <c r="I4" s="54">
        <v>0</v>
      </c>
      <c r="J4" s="54" t="s">
        <v>244</v>
      </c>
      <c r="K4" s="56" t="s">
        <v>245</v>
      </c>
      <c r="L4" s="54" t="s">
        <v>246</v>
      </c>
      <c r="M4" s="54" t="s">
        <v>247</v>
      </c>
      <c r="N4" s="54" t="s">
        <v>248</v>
      </c>
      <c r="O4" s="54" t="s">
        <v>249</v>
      </c>
    </row>
    <row r="5" spans="1:15" x14ac:dyDescent="0.25">
      <c r="A5" s="53">
        <v>2</v>
      </c>
      <c r="B5" s="54" t="s">
        <v>250</v>
      </c>
      <c r="C5" s="54" t="s">
        <v>251</v>
      </c>
      <c r="D5" s="54" t="s">
        <v>252</v>
      </c>
      <c r="E5" s="54" t="s">
        <v>243</v>
      </c>
      <c r="F5" s="57">
        <v>35360</v>
      </c>
      <c r="G5" s="54">
        <v>27</v>
      </c>
      <c r="H5" s="54">
        <v>0</v>
      </c>
      <c r="I5" s="54">
        <v>8</v>
      </c>
      <c r="J5" s="54" t="s">
        <v>253</v>
      </c>
      <c r="K5" s="58">
        <v>45047</v>
      </c>
      <c r="L5" s="54" t="s">
        <v>246</v>
      </c>
      <c r="M5" s="54" t="s">
        <v>254</v>
      </c>
      <c r="N5" s="54" t="s">
        <v>255</v>
      </c>
      <c r="O5" s="54" t="s">
        <v>256</v>
      </c>
    </row>
    <row r="6" spans="1:15" x14ac:dyDescent="0.25">
      <c r="A6" s="53">
        <v>3</v>
      </c>
      <c r="B6" s="54" t="s">
        <v>257</v>
      </c>
      <c r="C6" s="54" t="s">
        <v>258</v>
      </c>
      <c r="D6" s="54" t="s">
        <v>259</v>
      </c>
      <c r="E6" s="54" t="s">
        <v>243</v>
      </c>
      <c r="F6" s="57">
        <v>35183</v>
      </c>
      <c r="G6" s="54">
        <v>27</v>
      </c>
      <c r="H6" s="54">
        <v>4</v>
      </c>
      <c r="I6" s="54">
        <v>0</v>
      </c>
      <c r="J6" s="54" t="s">
        <v>260</v>
      </c>
      <c r="K6" s="58">
        <v>44196</v>
      </c>
      <c r="L6" s="54" t="s">
        <v>261</v>
      </c>
      <c r="M6" s="54" t="s">
        <v>247</v>
      </c>
      <c r="N6" s="54" t="s">
        <v>262</v>
      </c>
      <c r="O6" s="54" t="s">
        <v>256</v>
      </c>
    </row>
    <row r="7" spans="1:15" x14ac:dyDescent="0.25">
      <c r="A7" s="53">
        <v>4</v>
      </c>
      <c r="B7" s="54" t="s">
        <v>263</v>
      </c>
      <c r="C7" s="54" t="s">
        <v>264</v>
      </c>
      <c r="D7" s="54" t="s">
        <v>259</v>
      </c>
      <c r="E7" s="54" t="s">
        <v>265</v>
      </c>
      <c r="F7" s="57">
        <v>35833</v>
      </c>
      <c r="G7" s="54">
        <v>25</v>
      </c>
      <c r="H7" s="54">
        <v>4</v>
      </c>
      <c r="I7" s="54">
        <v>0</v>
      </c>
      <c r="J7" s="54" t="s">
        <v>266</v>
      </c>
      <c r="K7" s="58">
        <v>44196</v>
      </c>
      <c r="L7" s="54" t="s">
        <v>261</v>
      </c>
      <c r="M7" s="54" t="s">
        <v>254</v>
      </c>
      <c r="N7" s="54" t="s">
        <v>267</v>
      </c>
      <c r="O7" s="54" t="s">
        <v>256</v>
      </c>
    </row>
    <row r="8" spans="1:15" x14ac:dyDescent="0.25">
      <c r="A8" s="53">
        <v>5</v>
      </c>
      <c r="B8" s="54" t="s">
        <v>268</v>
      </c>
      <c r="C8" s="54" t="s">
        <v>269</v>
      </c>
      <c r="D8" s="54" t="s">
        <v>259</v>
      </c>
      <c r="E8" s="54" t="s">
        <v>243</v>
      </c>
      <c r="F8" s="57">
        <v>35441</v>
      </c>
      <c r="G8" s="54">
        <v>26</v>
      </c>
      <c r="H8" s="54">
        <v>3</v>
      </c>
      <c r="I8" s="54">
        <v>0</v>
      </c>
      <c r="J8" s="54" t="s">
        <v>270</v>
      </c>
      <c r="K8" s="56" t="s">
        <v>271</v>
      </c>
      <c r="L8" s="54" t="s">
        <v>246</v>
      </c>
      <c r="M8" s="54" t="s">
        <v>272</v>
      </c>
      <c r="N8" s="54" t="s">
        <v>273</v>
      </c>
      <c r="O8" s="54" t="s">
        <v>256</v>
      </c>
    </row>
    <row r="9" spans="1:15" x14ac:dyDescent="0.25">
      <c r="A9" s="53">
        <v>6</v>
      </c>
      <c r="B9" s="54" t="s">
        <v>274</v>
      </c>
      <c r="C9" s="54" t="s">
        <v>275</v>
      </c>
      <c r="D9" s="54" t="s">
        <v>259</v>
      </c>
      <c r="E9" s="54" t="s">
        <v>243</v>
      </c>
      <c r="F9" s="57">
        <v>33641</v>
      </c>
      <c r="G9" s="54">
        <v>31</v>
      </c>
      <c r="H9" s="54">
        <v>3</v>
      </c>
      <c r="I9" s="54">
        <v>0</v>
      </c>
      <c r="J9" s="54" t="s">
        <v>276</v>
      </c>
      <c r="K9" s="56" t="s">
        <v>271</v>
      </c>
      <c r="L9" s="54" t="s">
        <v>246</v>
      </c>
      <c r="M9" s="54" t="s">
        <v>272</v>
      </c>
      <c r="N9" s="54" t="s">
        <v>273</v>
      </c>
      <c r="O9" s="54" t="s">
        <v>256</v>
      </c>
    </row>
    <row r="10" spans="1:15" x14ac:dyDescent="0.25">
      <c r="A10" s="53">
        <v>7</v>
      </c>
      <c r="B10" s="54" t="s">
        <v>277</v>
      </c>
      <c r="C10" s="54" t="s">
        <v>278</v>
      </c>
      <c r="D10" s="54" t="s">
        <v>279</v>
      </c>
      <c r="E10" s="54" t="s">
        <v>243</v>
      </c>
      <c r="F10" s="57">
        <v>31986</v>
      </c>
      <c r="G10" s="54">
        <v>36</v>
      </c>
      <c r="H10" s="54">
        <v>6</v>
      </c>
      <c r="I10" s="54">
        <v>0</v>
      </c>
      <c r="J10" s="54" t="s">
        <v>280</v>
      </c>
      <c r="K10" s="58">
        <v>43100</v>
      </c>
      <c r="L10" s="54" t="s">
        <v>246</v>
      </c>
      <c r="M10" s="54" t="s">
        <v>254</v>
      </c>
      <c r="N10" s="54" t="s">
        <v>281</v>
      </c>
      <c r="O10" s="54" t="s">
        <v>256</v>
      </c>
    </row>
    <row r="11" spans="1:15" x14ac:dyDescent="0.25">
      <c r="A11" s="53">
        <v>8</v>
      </c>
      <c r="B11" s="54" t="s">
        <v>282</v>
      </c>
      <c r="C11" s="54" t="s">
        <v>283</v>
      </c>
      <c r="D11" s="54" t="s">
        <v>279</v>
      </c>
      <c r="E11" s="54" t="s">
        <v>243</v>
      </c>
      <c r="F11" s="57">
        <v>34686</v>
      </c>
      <c r="G11" s="54">
        <v>29</v>
      </c>
      <c r="H11" s="54">
        <v>6</v>
      </c>
      <c r="I11" s="54">
        <v>0</v>
      </c>
      <c r="J11" s="54" t="s">
        <v>284</v>
      </c>
      <c r="K11" s="58">
        <v>43100</v>
      </c>
      <c r="L11" s="54" t="s">
        <v>246</v>
      </c>
      <c r="M11" s="54" t="s">
        <v>254</v>
      </c>
      <c r="N11" s="54" t="s">
        <v>281</v>
      </c>
      <c r="O11" s="54" t="s">
        <v>256</v>
      </c>
    </row>
    <row r="12" spans="1:15" x14ac:dyDescent="0.25">
      <c r="A12" s="53">
        <v>9</v>
      </c>
      <c r="B12" s="54" t="s">
        <v>285</v>
      </c>
      <c r="C12" s="54" t="s">
        <v>286</v>
      </c>
      <c r="D12" s="54" t="s">
        <v>279</v>
      </c>
      <c r="E12" s="54" t="s">
        <v>243</v>
      </c>
      <c r="F12" s="57">
        <v>34342</v>
      </c>
      <c r="G12" s="54">
        <v>29</v>
      </c>
      <c r="H12" s="54">
        <v>6</v>
      </c>
      <c r="I12" s="54">
        <v>0</v>
      </c>
      <c r="J12" s="54" t="s">
        <v>280</v>
      </c>
      <c r="K12" s="58">
        <v>43100</v>
      </c>
      <c r="L12" s="54" t="s">
        <v>246</v>
      </c>
      <c r="M12" s="54" t="s">
        <v>254</v>
      </c>
      <c r="N12" s="54" t="s">
        <v>281</v>
      </c>
      <c r="O12" s="54" t="s">
        <v>256</v>
      </c>
    </row>
    <row r="13" spans="1:15" x14ac:dyDescent="0.25">
      <c r="A13" s="53">
        <v>10</v>
      </c>
      <c r="B13" s="54" t="s">
        <v>287</v>
      </c>
      <c r="C13" s="54" t="s">
        <v>288</v>
      </c>
      <c r="D13" s="54" t="s">
        <v>279</v>
      </c>
      <c r="E13" s="54" t="s">
        <v>289</v>
      </c>
      <c r="F13" s="57">
        <v>28851</v>
      </c>
      <c r="G13" s="54">
        <v>45</v>
      </c>
      <c r="H13" s="54">
        <v>6</v>
      </c>
      <c r="I13" s="54">
        <v>0</v>
      </c>
      <c r="J13" s="54" t="s">
        <v>290</v>
      </c>
      <c r="K13" s="58">
        <v>43100</v>
      </c>
      <c r="L13" s="54" t="s">
        <v>246</v>
      </c>
      <c r="M13" s="54" t="s">
        <v>254</v>
      </c>
      <c r="N13" s="54" t="s">
        <v>291</v>
      </c>
      <c r="O13" s="54" t="s">
        <v>256</v>
      </c>
    </row>
    <row r="14" spans="1:15" x14ac:dyDescent="0.25">
      <c r="A14" s="53">
        <v>11</v>
      </c>
      <c r="B14" s="54" t="s">
        <v>292</v>
      </c>
      <c r="C14" s="54" t="s">
        <v>293</v>
      </c>
      <c r="D14" s="54" t="s">
        <v>279</v>
      </c>
      <c r="E14" s="54" t="s">
        <v>243</v>
      </c>
      <c r="F14" s="57">
        <v>30922</v>
      </c>
      <c r="G14" s="54">
        <v>39</v>
      </c>
      <c r="H14" s="54">
        <v>6</v>
      </c>
      <c r="I14" s="54">
        <v>0</v>
      </c>
      <c r="J14" s="54" t="s">
        <v>294</v>
      </c>
      <c r="K14" s="58">
        <v>43100</v>
      </c>
      <c r="L14" s="54" t="s">
        <v>246</v>
      </c>
      <c r="M14" s="54" t="s">
        <v>272</v>
      </c>
      <c r="N14" s="54" t="s">
        <v>273</v>
      </c>
      <c r="O14" s="54" t="s">
        <v>256</v>
      </c>
    </row>
    <row r="15" spans="1:15" x14ac:dyDescent="0.25">
      <c r="A15" s="53">
        <v>12</v>
      </c>
      <c r="B15" s="54" t="s">
        <v>295</v>
      </c>
      <c r="C15" s="54" t="s">
        <v>296</v>
      </c>
      <c r="D15" s="54" t="s">
        <v>279</v>
      </c>
      <c r="E15" s="54" t="s">
        <v>243</v>
      </c>
      <c r="F15" s="57">
        <v>33726</v>
      </c>
      <c r="G15" s="54">
        <v>31</v>
      </c>
      <c r="H15" s="54">
        <v>6</v>
      </c>
      <c r="I15" s="54">
        <v>0</v>
      </c>
      <c r="J15" s="54" t="s">
        <v>297</v>
      </c>
      <c r="K15" s="58">
        <v>43100</v>
      </c>
      <c r="L15" s="54" t="s">
        <v>246</v>
      </c>
      <c r="M15" s="54" t="s">
        <v>272</v>
      </c>
      <c r="N15" s="54" t="s">
        <v>273</v>
      </c>
      <c r="O15" s="54" t="s">
        <v>256</v>
      </c>
    </row>
    <row r="16" spans="1:15" x14ac:dyDescent="0.25">
      <c r="A16" s="53">
        <v>13</v>
      </c>
      <c r="B16" s="54" t="s">
        <v>298</v>
      </c>
      <c r="C16" s="54" t="s">
        <v>299</v>
      </c>
      <c r="D16" s="54" t="s">
        <v>279</v>
      </c>
      <c r="E16" s="54" t="s">
        <v>243</v>
      </c>
      <c r="F16" s="57">
        <v>32390</v>
      </c>
      <c r="G16" s="54">
        <v>35</v>
      </c>
      <c r="H16" s="54">
        <v>3</v>
      </c>
      <c r="I16" s="54">
        <v>0</v>
      </c>
      <c r="J16" s="54" t="s">
        <v>300</v>
      </c>
      <c r="K16" s="58">
        <v>43861</v>
      </c>
      <c r="L16" s="54" t="s">
        <v>261</v>
      </c>
      <c r="M16" s="54" t="s">
        <v>254</v>
      </c>
      <c r="N16" s="54" t="s">
        <v>291</v>
      </c>
      <c r="O16" s="54" t="s">
        <v>256</v>
      </c>
    </row>
    <row r="17" spans="1:15" x14ac:dyDescent="0.25">
      <c r="A17" s="53">
        <v>14</v>
      </c>
      <c r="B17" s="54" t="s">
        <v>301</v>
      </c>
      <c r="C17" s="54" t="s">
        <v>302</v>
      </c>
      <c r="D17" s="54" t="s">
        <v>279</v>
      </c>
      <c r="E17" s="54" t="s">
        <v>243</v>
      </c>
      <c r="F17" s="57">
        <v>34763</v>
      </c>
      <c r="G17" s="54">
        <v>28</v>
      </c>
      <c r="H17" s="54">
        <v>3</v>
      </c>
      <c r="I17" s="54">
        <v>0</v>
      </c>
      <c r="J17" s="54" t="s">
        <v>303</v>
      </c>
      <c r="K17" s="58">
        <v>43861</v>
      </c>
      <c r="L17" s="54" t="s">
        <v>261</v>
      </c>
      <c r="M17" s="54" t="s">
        <v>254</v>
      </c>
      <c r="N17" s="54" t="s">
        <v>281</v>
      </c>
      <c r="O17" s="54" t="s">
        <v>256</v>
      </c>
    </row>
    <row r="18" spans="1:15" x14ac:dyDescent="0.25">
      <c r="A18" s="53">
        <v>15</v>
      </c>
      <c r="B18" s="54" t="s">
        <v>304</v>
      </c>
      <c r="C18" s="54" t="s">
        <v>305</v>
      </c>
      <c r="D18" s="54" t="s">
        <v>279</v>
      </c>
      <c r="E18" s="54" t="s">
        <v>243</v>
      </c>
      <c r="F18" s="57">
        <v>32697</v>
      </c>
      <c r="G18" s="54">
        <v>34</v>
      </c>
      <c r="H18" s="54">
        <v>3</v>
      </c>
      <c r="I18" s="54">
        <v>0</v>
      </c>
      <c r="J18" s="54" t="s">
        <v>306</v>
      </c>
      <c r="K18" s="58">
        <v>43861</v>
      </c>
      <c r="L18" s="54" t="s">
        <v>261</v>
      </c>
      <c r="M18" s="54" t="s">
        <v>247</v>
      </c>
      <c r="N18" s="54" t="s">
        <v>307</v>
      </c>
      <c r="O18" s="54" t="s">
        <v>256</v>
      </c>
    </row>
    <row r="19" spans="1:15" x14ac:dyDescent="0.25">
      <c r="A19" s="53">
        <v>16</v>
      </c>
      <c r="B19" s="54" t="s">
        <v>308</v>
      </c>
      <c r="C19" s="54" t="s">
        <v>309</v>
      </c>
      <c r="D19" s="54" t="s">
        <v>279</v>
      </c>
      <c r="E19" s="54" t="s">
        <v>243</v>
      </c>
      <c r="F19" s="57">
        <v>37748</v>
      </c>
      <c r="G19" s="54">
        <v>20</v>
      </c>
      <c r="H19" s="54">
        <v>0</v>
      </c>
      <c r="I19" s="54">
        <v>5</v>
      </c>
      <c r="J19" s="54" t="s">
        <v>253</v>
      </c>
      <c r="K19" s="58">
        <v>45139</v>
      </c>
      <c r="L19" s="54" t="s">
        <v>261</v>
      </c>
      <c r="M19" s="54" t="s">
        <v>272</v>
      </c>
      <c r="N19" s="54" t="s">
        <v>273</v>
      </c>
      <c r="O19" s="54" t="s">
        <v>256</v>
      </c>
    </row>
    <row r="20" spans="1:15" x14ac:dyDescent="0.25">
      <c r="A20" s="53">
        <v>17</v>
      </c>
      <c r="B20" s="54" t="s">
        <v>310</v>
      </c>
      <c r="C20" s="54" t="s">
        <v>311</v>
      </c>
      <c r="D20" s="54" t="s">
        <v>279</v>
      </c>
      <c r="E20" s="54" t="s">
        <v>243</v>
      </c>
      <c r="F20" s="57">
        <v>33827</v>
      </c>
      <c r="G20" s="54">
        <v>31</v>
      </c>
      <c r="H20" s="54">
        <v>0</v>
      </c>
      <c r="I20" s="54">
        <v>8</v>
      </c>
      <c r="J20" s="54" t="s">
        <v>253</v>
      </c>
      <c r="K20" s="58">
        <v>45047</v>
      </c>
      <c r="L20" s="54" t="s">
        <v>261</v>
      </c>
      <c r="M20" s="54" t="s">
        <v>254</v>
      </c>
      <c r="N20" s="54" t="s">
        <v>312</v>
      </c>
      <c r="O20" s="54" t="s">
        <v>256</v>
      </c>
    </row>
  </sheetData>
  <mergeCells count="11">
    <mergeCell ref="G1:G2"/>
    <mergeCell ref="H1:I1"/>
    <mergeCell ref="J1:L1"/>
    <mergeCell ref="M1:N1"/>
    <mergeCell ref="O1:O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E1E6-24AD-456E-AE4C-12385C197A79}">
  <sheetPr>
    <pageSetUpPr fitToPage="1"/>
  </sheetPr>
  <dimension ref="B1:AN56"/>
  <sheetViews>
    <sheetView topLeftCell="O36" zoomScale="80" zoomScaleNormal="80" zoomScalePageLayoutView="90" workbookViewId="0">
      <selection activeCell="B1" sqref="B1:M54"/>
    </sheetView>
  </sheetViews>
  <sheetFormatPr defaultRowHeight="15" x14ac:dyDescent="0.25"/>
  <cols>
    <col min="3" max="3" width="33.5703125" customWidth="1"/>
    <col min="8" max="8" width="8.7109375" customWidth="1"/>
    <col min="9" max="9" width="33.5703125" customWidth="1"/>
    <col min="14" max="14" width="37" customWidth="1"/>
    <col min="15" max="15" width="5.5703125" customWidth="1"/>
    <col min="16" max="16" width="8.7109375" hidden="1" customWidth="1"/>
    <col min="17" max="17" width="37.140625" customWidth="1"/>
    <col min="24" max="24" width="41.28515625" customWidth="1"/>
    <col min="31" max="31" width="41" customWidth="1"/>
    <col min="37" max="37" width="15.7109375" customWidth="1"/>
  </cols>
  <sheetData>
    <row r="1" spans="3:40" ht="15.75" x14ac:dyDescent="0.25"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 t="s">
        <v>120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K1" s="15" t="s">
        <v>121</v>
      </c>
      <c r="AL1" s="1" t="s">
        <v>1</v>
      </c>
      <c r="AM1" s="1" t="s">
        <v>2</v>
      </c>
      <c r="AN1" s="1" t="s">
        <v>3</v>
      </c>
    </row>
    <row r="2" spans="3:40" ht="15.75" x14ac:dyDescent="0.25"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4" t="s">
        <v>122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K2" s="15"/>
      <c r="AL2" s="1"/>
      <c r="AM2" s="1"/>
      <c r="AN2" s="1"/>
    </row>
    <row r="3" spans="3:40" ht="15.75" x14ac:dyDescent="0.25"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48" t="s">
        <v>194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K3" s="15" t="s">
        <v>11</v>
      </c>
      <c r="AL3" s="1">
        <v>1</v>
      </c>
      <c r="AM3" s="1">
        <v>1</v>
      </c>
      <c r="AN3" s="1">
        <f>AL3-AM3</f>
        <v>0</v>
      </c>
    </row>
    <row r="4" spans="3:40" ht="15.75" x14ac:dyDescent="0.25">
      <c r="AK4" s="15" t="s">
        <v>12</v>
      </c>
      <c r="AL4" s="1">
        <v>4</v>
      </c>
      <c r="AM4" s="1">
        <v>4</v>
      </c>
      <c r="AN4" s="1">
        <f t="shared" ref="AN4:AN13" si="0">AL4-AM4</f>
        <v>0</v>
      </c>
    </row>
    <row r="5" spans="3:40" ht="15.75" x14ac:dyDescent="0.25">
      <c r="N5" s="89" t="s">
        <v>123</v>
      </c>
      <c r="O5" s="93"/>
      <c r="P5" s="93"/>
      <c r="Q5" s="93"/>
      <c r="R5" s="93"/>
      <c r="S5" s="90"/>
      <c r="AK5" s="2" t="s">
        <v>13</v>
      </c>
      <c r="AL5" s="16">
        <v>0</v>
      </c>
      <c r="AM5" s="16">
        <v>0</v>
      </c>
      <c r="AN5" s="1">
        <f t="shared" si="0"/>
        <v>0</v>
      </c>
    </row>
    <row r="6" spans="3:40" ht="15.75" x14ac:dyDescent="0.25">
      <c r="N6" s="94"/>
      <c r="O6" s="95"/>
      <c r="P6" s="95"/>
      <c r="Q6" s="95"/>
      <c r="R6" s="95"/>
      <c r="S6" s="96"/>
      <c r="AK6" s="15" t="s">
        <v>14</v>
      </c>
      <c r="AL6" s="1">
        <v>1</v>
      </c>
      <c r="AM6" s="1">
        <v>4</v>
      </c>
      <c r="AN6" s="1">
        <f t="shared" si="0"/>
        <v>-3</v>
      </c>
    </row>
    <row r="7" spans="3:40" ht="15.75" x14ac:dyDescent="0.25">
      <c r="N7" s="91"/>
      <c r="O7" s="97"/>
      <c r="P7" s="97"/>
      <c r="Q7" s="97"/>
      <c r="R7" s="97"/>
      <c r="S7" s="92"/>
      <c r="AK7" s="15" t="s">
        <v>15</v>
      </c>
      <c r="AL7" s="1">
        <v>1</v>
      </c>
      <c r="AM7" s="1">
        <v>6</v>
      </c>
      <c r="AN7" s="1">
        <f t="shared" si="0"/>
        <v>-5</v>
      </c>
    </row>
    <row r="8" spans="3:40" ht="15.75" x14ac:dyDescent="0.25">
      <c r="N8" s="81" t="s">
        <v>11</v>
      </c>
      <c r="O8" s="81"/>
      <c r="P8" s="81"/>
      <c r="Q8" s="17" t="s">
        <v>1</v>
      </c>
      <c r="R8" s="17" t="s">
        <v>2</v>
      </c>
      <c r="S8" s="17" t="s">
        <v>3</v>
      </c>
      <c r="AK8" s="18" t="s">
        <v>16</v>
      </c>
      <c r="AL8" s="1">
        <v>2</v>
      </c>
      <c r="AM8" s="1">
        <v>8</v>
      </c>
      <c r="AN8" s="1">
        <f t="shared" si="0"/>
        <v>-6</v>
      </c>
    </row>
    <row r="9" spans="3:40" ht="15.75" x14ac:dyDescent="0.25">
      <c r="N9" s="81"/>
      <c r="O9" s="81"/>
      <c r="P9" s="81"/>
      <c r="Q9" s="19">
        <v>1</v>
      </c>
      <c r="R9" s="19">
        <v>1</v>
      </c>
      <c r="S9" s="19">
        <f>Q9-R9</f>
        <v>0</v>
      </c>
      <c r="AK9" s="18" t="s">
        <v>17</v>
      </c>
      <c r="AL9" s="1">
        <v>4</v>
      </c>
      <c r="AM9" s="1">
        <v>12</v>
      </c>
      <c r="AN9" s="1">
        <f t="shared" si="0"/>
        <v>-8</v>
      </c>
    </row>
    <row r="10" spans="3:40" ht="47.25" x14ac:dyDescent="0.25">
      <c r="N10" s="20" t="s">
        <v>124</v>
      </c>
      <c r="O10" s="77" t="s">
        <v>195</v>
      </c>
      <c r="P10" s="78"/>
      <c r="Q10" s="78"/>
      <c r="R10" s="78"/>
      <c r="S10" s="79"/>
      <c r="AK10" s="15" t="s">
        <v>18</v>
      </c>
      <c r="AL10" s="1">
        <v>7</v>
      </c>
      <c r="AM10" s="1">
        <v>14</v>
      </c>
      <c r="AN10" s="1">
        <f t="shared" si="0"/>
        <v>-7</v>
      </c>
    </row>
    <row r="11" spans="3:40" ht="15.75" x14ac:dyDescent="0.25">
      <c r="O11" s="22"/>
      <c r="AK11" s="15" t="s">
        <v>19</v>
      </c>
      <c r="AL11" s="1">
        <v>13</v>
      </c>
      <c r="AM11" s="1">
        <v>28</v>
      </c>
      <c r="AN11" s="1">
        <f t="shared" si="0"/>
        <v>-15</v>
      </c>
    </row>
    <row r="12" spans="3:40" ht="15.75" x14ac:dyDescent="0.25">
      <c r="O12" s="23"/>
      <c r="AK12" s="15" t="s">
        <v>20</v>
      </c>
      <c r="AL12" s="1">
        <v>0</v>
      </c>
      <c r="AM12" s="1">
        <v>0</v>
      </c>
      <c r="AN12" s="1">
        <f t="shared" si="0"/>
        <v>0</v>
      </c>
    </row>
    <row r="13" spans="3:40" ht="15.75" x14ac:dyDescent="0.25">
      <c r="O13" s="23"/>
      <c r="AK13" s="2" t="s">
        <v>23</v>
      </c>
      <c r="AL13" s="1">
        <v>5</v>
      </c>
      <c r="AM13" s="1">
        <v>7</v>
      </c>
      <c r="AN13" s="1">
        <f t="shared" si="0"/>
        <v>-2</v>
      </c>
    </row>
    <row r="14" spans="3:40" ht="15.75" x14ac:dyDescent="0.25">
      <c r="O14" s="23"/>
      <c r="AK14" s="1" t="s">
        <v>21</v>
      </c>
      <c r="AL14" s="1">
        <f t="shared" ref="AL14:AM14" si="1">SUM(AL3:AL13)</f>
        <v>38</v>
      </c>
      <c r="AM14" s="1">
        <f t="shared" si="1"/>
        <v>84</v>
      </c>
      <c r="AN14" s="1">
        <f>SUM(AN3:AN13)</f>
        <v>-46</v>
      </c>
    </row>
    <row r="15" spans="3:40" x14ac:dyDescent="0.25">
      <c r="I15" s="24"/>
      <c r="J15" s="25"/>
      <c r="K15" s="25"/>
      <c r="L15" s="25"/>
      <c r="M15" s="25"/>
      <c r="N15" s="25"/>
      <c r="O15" s="25"/>
      <c r="P15" s="25"/>
      <c r="Q15" s="26"/>
      <c r="R15" s="22"/>
      <c r="S15" s="25"/>
      <c r="T15" s="25"/>
      <c r="U15" s="25"/>
      <c r="V15" s="25"/>
      <c r="W15" s="25"/>
      <c r="X15" s="26"/>
      <c r="Y15" s="22"/>
      <c r="Z15" s="25"/>
      <c r="AA15" s="25"/>
      <c r="AB15" s="25"/>
      <c r="AC15" s="25"/>
      <c r="AD15" s="25"/>
      <c r="AE15" s="26"/>
    </row>
    <row r="16" spans="3:40" ht="15.6" customHeight="1" x14ac:dyDescent="0.25">
      <c r="I16" s="81" t="s">
        <v>103</v>
      </c>
      <c r="J16" s="81"/>
      <c r="K16" s="81"/>
      <c r="L16" s="81"/>
      <c r="M16" s="81"/>
      <c r="Q16" s="85" t="s">
        <v>108</v>
      </c>
      <c r="R16" s="86"/>
      <c r="S16" s="86"/>
      <c r="T16" s="86"/>
      <c r="U16" s="87"/>
      <c r="X16" s="85" t="s">
        <v>105</v>
      </c>
      <c r="Y16" s="86"/>
      <c r="Z16" s="86"/>
      <c r="AA16" s="86"/>
      <c r="AB16" s="87"/>
      <c r="AE16" s="85" t="s">
        <v>125</v>
      </c>
      <c r="AF16" s="86"/>
      <c r="AG16" s="86"/>
      <c r="AH16" s="86"/>
      <c r="AI16" s="87"/>
    </row>
    <row r="17" spans="2:35" ht="15.6" customHeight="1" x14ac:dyDescent="0.25">
      <c r="I17" s="81" t="s">
        <v>12</v>
      </c>
      <c r="J17" s="81"/>
      <c r="K17" s="17" t="s">
        <v>1</v>
      </c>
      <c r="L17" s="17" t="s">
        <v>2</v>
      </c>
      <c r="M17" s="17" t="s">
        <v>3</v>
      </c>
      <c r="Q17" s="88" t="s">
        <v>12</v>
      </c>
      <c r="R17" s="17"/>
      <c r="S17" s="17" t="s">
        <v>1</v>
      </c>
      <c r="T17" s="17" t="s">
        <v>2</v>
      </c>
      <c r="U17" s="17" t="s">
        <v>3</v>
      </c>
      <c r="X17" s="88" t="s">
        <v>12</v>
      </c>
      <c r="Y17" s="17"/>
      <c r="Z17" s="17" t="s">
        <v>1</v>
      </c>
      <c r="AA17" s="17" t="s">
        <v>2</v>
      </c>
      <c r="AB17" s="17" t="s">
        <v>3</v>
      </c>
      <c r="AE17" s="88" t="s">
        <v>12</v>
      </c>
      <c r="AF17" s="17"/>
      <c r="AG17" s="17" t="s">
        <v>1</v>
      </c>
      <c r="AH17" s="17" t="s">
        <v>2</v>
      </c>
      <c r="AI17" s="17" t="s">
        <v>3</v>
      </c>
    </row>
    <row r="18" spans="2:35" ht="15.75" x14ac:dyDescent="0.25">
      <c r="I18" s="81"/>
      <c r="J18" s="81"/>
      <c r="K18" s="17">
        <v>1</v>
      </c>
      <c r="L18" s="17">
        <v>1</v>
      </c>
      <c r="M18" s="17">
        <f>K18-L18</f>
        <v>0</v>
      </c>
      <c r="Q18" s="84"/>
      <c r="R18" s="17"/>
      <c r="S18" s="17">
        <v>1</v>
      </c>
      <c r="T18" s="17">
        <v>1</v>
      </c>
      <c r="U18" s="17">
        <f>S18-T18</f>
        <v>0</v>
      </c>
      <c r="X18" s="84"/>
      <c r="Y18" s="17"/>
      <c r="Z18" s="17">
        <v>1</v>
      </c>
      <c r="AA18" s="17">
        <v>1</v>
      </c>
      <c r="AB18" s="17">
        <f>Z18-AA18</f>
        <v>0</v>
      </c>
      <c r="AE18" s="84"/>
      <c r="AF18" s="17"/>
      <c r="AG18" s="17">
        <v>1</v>
      </c>
      <c r="AH18" s="17">
        <v>1</v>
      </c>
      <c r="AI18" s="17">
        <f>AG18-AH18</f>
        <v>0</v>
      </c>
    </row>
    <row r="19" spans="2:35" ht="15.75" x14ac:dyDescent="0.25">
      <c r="I19" s="17"/>
      <c r="J19" s="17" t="s">
        <v>0</v>
      </c>
      <c r="K19" s="17" t="s">
        <v>1</v>
      </c>
      <c r="L19" s="17" t="s">
        <v>2</v>
      </c>
      <c r="M19" s="17" t="s">
        <v>3</v>
      </c>
      <c r="Q19" s="17"/>
      <c r="R19" s="17" t="s">
        <v>0</v>
      </c>
      <c r="S19" s="17" t="s">
        <v>1</v>
      </c>
      <c r="T19" s="17" t="s">
        <v>2</v>
      </c>
      <c r="U19" s="17" t="s">
        <v>3</v>
      </c>
      <c r="X19" s="17"/>
      <c r="Y19" s="17" t="s">
        <v>0</v>
      </c>
      <c r="Z19" s="17" t="s">
        <v>1</v>
      </c>
      <c r="AA19" s="17" t="s">
        <v>2</v>
      </c>
      <c r="AB19" s="17" t="s">
        <v>3</v>
      </c>
      <c r="AE19" s="17"/>
      <c r="AF19" s="17" t="s">
        <v>0</v>
      </c>
      <c r="AG19" s="17" t="s">
        <v>1</v>
      </c>
      <c r="AH19" s="17" t="s">
        <v>2</v>
      </c>
      <c r="AI19" s="17" t="s">
        <v>3</v>
      </c>
    </row>
    <row r="20" spans="2:35" ht="31.5" x14ac:dyDescent="0.25">
      <c r="I20" s="16" t="s">
        <v>126</v>
      </c>
      <c r="J20" s="77" t="s">
        <v>127</v>
      </c>
      <c r="K20" s="78"/>
      <c r="L20" s="78"/>
      <c r="M20" s="79"/>
      <c r="Q20" s="16" t="s">
        <v>128</v>
      </c>
      <c r="R20" s="77" t="s">
        <v>129</v>
      </c>
      <c r="S20" s="78"/>
      <c r="T20" s="78"/>
      <c r="U20" s="79"/>
      <c r="X20" s="16" t="s">
        <v>130</v>
      </c>
      <c r="Y20" s="77" t="s">
        <v>131</v>
      </c>
      <c r="Z20" s="78"/>
      <c r="AA20" s="78"/>
      <c r="AB20" s="79"/>
      <c r="AE20" s="16" t="s">
        <v>132</v>
      </c>
      <c r="AF20" s="77" t="s">
        <v>133</v>
      </c>
      <c r="AG20" s="78"/>
      <c r="AH20" s="78"/>
      <c r="AI20" s="79"/>
    </row>
    <row r="21" spans="2:35" ht="15.75" x14ac:dyDescent="0.25">
      <c r="I21" s="29"/>
      <c r="J21" s="30"/>
      <c r="K21" s="29"/>
      <c r="L21" s="29"/>
      <c r="M21" s="29"/>
      <c r="Q21" s="26"/>
      <c r="W21" s="31"/>
      <c r="X21" s="32"/>
      <c r="AD21" s="31"/>
      <c r="AE21" s="32"/>
    </row>
    <row r="22" spans="2:35" ht="15.75" x14ac:dyDescent="0.25">
      <c r="B22" s="22"/>
      <c r="C22" s="33"/>
      <c r="D22" s="25"/>
      <c r="E22" s="25"/>
      <c r="F22" s="25"/>
      <c r="G22" s="25"/>
      <c r="H22" s="25"/>
      <c r="I22" s="21"/>
      <c r="J22" s="29"/>
      <c r="K22" s="29"/>
      <c r="L22" s="29"/>
      <c r="M22" s="29"/>
      <c r="O22" s="22"/>
      <c r="P22" s="25"/>
      <c r="Q22" s="25"/>
      <c r="W22" s="22"/>
      <c r="AD22" s="22"/>
    </row>
    <row r="23" spans="2:35" ht="15.75" x14ac:dyDescent="0.25">
      <c r="B23" s="23"/>
      <c r="C23" s="84"/>
      <c r="D23" s="81" t="s">
        <v>0</v>
      </c>
      <c r="E23" s="81" t="s">
        <v>1</v>
      </c>
      <c r="F23" s="81" t="s">
        <v>2</v>
      </c>
      <c r="G23" s="81" t="s">
        <v>3</v>
      </c>
      <c r="I23" s="85" t="s">
        <v>196</v>
      </c>
      <c r="J23" s="86"/>
      <c r="K23" s="86"/>
      <c r="L23" s="86"/>
      <c r="M23" s="87"/>
      <c r="O23" s="23"/>
      <c r="Q23" s="81"/>
      <c r="R23" s="81" t="s">
        <v>0</v>
      </c>
      <c r="S23" s="81" t="s">
        <v>1</v>
      </c>
      <c r="T23" s="81" t="s">
        <v>2</v>
      </c>
      <c r="U23" s="81" t="s">
        <v>3</v>
      </c>
      <c r="W23" s="23"/>
      <c r="X23" s="81"/>
      <c r="Y23" s="81" t="s">
        <v>0</v>
      </c>
      <c r="Z23" s="81" t="s">
        <v>1</v>
      </c>
      <c r="AA23" s="81" t="s">
        <v>2</v>
      </c>
      <c r="AB23" s="81" t="s">
        <v>3</v>
      </c>
      <c r="AD23" s="23"/>
      <c r="AE23" s="81"/>
      <c r="AF23" s="81" t="s">
        <v>0</v>
      </c>
      <c r="AG23" s="81" t="s">
        <v>1</v>
      </c>
      <c r="AH23" s="81" t="s">
        <v>2</v>
      </c>
      <c r="AI23" s="81" t="s">
        <v>3</v>
      </c>
    </row>
    <row r="24" spans="2:35" ht="15.75" x14ac:dyDescent="0.25">
      <c r="B24" s="23"/>
      <c r="C24" s="81"/>
      <c r="D24" s="81"/>
      <c r="E24" s="81"/>
      <c r="F24" s="81"/>
      <c r="G24" s="81"/>
      <c r="I24" s="89" t="s">
        <v>15</v>
      </c>
      <c r="J24" s="90"/>
      <c r="K24" s="28" t="s">
        <v>1</v>
      </c>
      <c r="L24" s="28" t="s">
        <v>2</v>
      </c>
      <c r="M24" s="28" t="s">
        <v>3</v>
      </c>
      <c r="O24" s="23"/>
      <c r="Q24" s="81"/>
      <c r="R24" s="81"/>
      <c r="S24" s="81"/>
      <c r="T24" s="81"/>
      <c r="U24" s="81"/>
      <c r="W24" s="23"/>
      <c r="X24" s="81"/>
      <c r="Y24" s="81"/>
      <c r="Z24" s="81"/>
      <c r="AA24" s="81"/>
      <c r="AB24" s="81"/>
      <c r="AD24" s="23"/>
      <c r="AE24" s="81"/>
      <c r="AF24" s="81"/>
      <c r="AG24" s="81"/>
      <c r="AH24" s="81"/>
      <c r="AI24" s="81"/>
    </row>
    <row r="25" spans="2:35" ht="15.6" customHeight="1" x14ac:dyDescent="0.25">
      <c r="B25" s="34"/>
      <c r="C25" s="82" t="s">
        <v>134</v>
      </c>
      <c r="D25" s="81">
        <v>10</v>
      </c>
      <c r="E25" s="81">
        <v>1</v>
      </c>
      <c r="F25" s="81">
        <v>2</v>
      </c>
      <c r="G25" s="81">
        <f>E25-F25</f>
        <v>-1</v>
      </c>
      <c r="I25" s="91"/>
      <c r="J25" s="92"/>
      <c r="K25" s="17">
        <v>1</v>
      </c>
      <c r="L25" s="17">
        <v>1</v>
      </c>
      <c r="M25" s="17">
        <f>K25-L25</f>
        <v>0</v>
      </c>
      <c r="O25" s="23"/>
      <c r="Q25" s="82" t="s">
        <v>4</v>
      </c>
      <c r="R25" s="81">
        <v>10</v>
      </c>
      <c r="S25" s="81">
        <v>0</v>
      </c>
      <c r="T25" s="81">
        <v>1</v>
      </c>
      <c r="U25" s="81">
        <f>S25-T25</f>
        <v>-1</v>
      </c>
      <c r="W25" s="23"/>
      <c r="X25" s="82" t="s">
        <v>135</v>
      </c>
      <c r="Y25" s="81">
        <v>9</v>
      </c>
      <c r="Z25" s="81">
        <v>0</v>
      </c>
      <c r="AA25" s="81">
        <v>1</v>
      </c>
      <c r="AB25" s="81">
        <f>Z25-AA25</f>
        <v>-1</v>
      </c>
      <c r="AD25" s="23"/>
      <c r="AE25" s="82" t="s">
        <v>136</v>
      </c>
      <c r="AF25" s="81">
        <v>9</v>
      </c>
      <c r="AG25" s="81">
        <v>0</v>
      </c>
      <c r="AH25" s="81">
        <v>2</v>
      </c>
      <c r="AI25" s="81">
        <f>AG25-AH25</f>
        <v>-2</v>
      </c>
    </row>
    <row r="26" spans="2:35" ht="15.75" x14ac:dyDescent="0.25">
      <c r="B26" s="35"/>
      <c r="C26" s="83"/>
      <c r="D26" s="81"/>
      <c r="E26" s="81"/>
      <c r="F26" s="81"/>
      <c r="G26" s="81"/>
      <c r="I26" s="17"/>
      <c r="J26" s="17" t="s">
        <v>0</v>
      </c>
      <c r="K26" s="17" t="s">
        <v>1</v>
      </c>
      <c r="L26" s="17" t="s">
        <v>2</v>
      </c>
      <c r="M26" s="17" t="s">
        <v>3</v>
      </c>
      <c r="O26" s="34"/>
      <c r="Q26" s="83"/>
      <c r="R26" s="81"/>
      <c r="S26" s="81"/>
      <c r="T26" s="81"/>
      <c r="U26" s="81"/>
      <c r="W26" s="36"/>
      <c r="X26" s="83"/>
      <c r="Y26" s="81"/>
      <c r="Z26" s="81"/>
      <c r="AA26" s="81"/>
      <c r="AB26" s="81"/>
      <c r="AD26" s="36"/>
      <c r="AE26" s="83"/>
      <c r="AF26" s="81"/>
      <c r="AG26" s="81"/>
      <c r="AH26" s="81"/>
      <c r="AI26" s="81"/>
    </row>
    <row r="27" spans="2:35" ht="30.95" customHeight="1" x14ac:dyDescent="0.25">
      <c r="B27" s="37"/>
      <c r="C27" s="38" t="s">
        <v>137</v>
      </c>
      <c r="D27" s="80" t="s">
        <v>138</v>
      </c>
      <c r="E27" s="80"/>
      <c r="F27" s="80"/>
      <c r="G27" s="80"/>
      <c r="I27" s="16" t="s">
        <v>139</v>
      </c>
      <c r="J27" s="77" t="s">
        <v>140</v>
      </c>
      <c r="K27" s="78"/>
      <c r="L27" s="78"/>
      <c r="M27" s="79"/>
      <c r="O27" s="23"/>
      <c r="Q27" s="38"/>
      <c r="R27" s="77"/>
      <c r="S27" s="78"/>
      <c r="T27" s="78"/>
      <c r="U27" s="79"/>
      <c r="W27" s="23"/>
      <c r="X27" s="38"/>
      <c r="Y27" s="77"/>
      <c r="Z27" s="78"/>
      <c r="AA27" s="78"/>
      <c r="AB27" s="79"/>
      <c r="AD27" s="23"/>
      <c r="AE27" s="38"/>
      <c r="AF27" s="77"/>
      <c r="AG27" s="78"/>
      <c r="AH27" s="78"/>
      <c r="AI27" s="79"/>
    </row>
    <row r="28" spans="2:35" ht="31.5" x14ac:dyDescent="0.25">
      <c r="B28" s="36"/>
      <c r="C28" s="39" t="s">
        <v>141</v>
      </c>
      <c r="D28" s="27">
        <v>8</v>
      </c>
      <c r="E28" s="27">
        <v>0</v>
      </c>
      <c r="F28" s="27">
        <v>2</v>
      </c>
      <c r="G28" s="27">
        <f>E28-F28</f>
        <v>-2</v>
      </c>
      <c r="I28" s="40" t="s">
        <v>6</v>
      </c>
      <c r="J28" s="17">
        <v>7</v>
      </c>
      <c r="K28" s="17">
        <v>0</v>
      </c>
      <c r="L28" s="17">
        <v>1</v>
      </c>
      <c r="M28" s="17">
        <f>K28-L28</f>
        <v>-1</v>
      </c>
      <c r="O28" s="34"/>
      <c r="Q28" s="39" t="s">
        <v>5</v>
      </c>
      <c r="R28" s="27">
        <v>8</v>
      </c>
      <c r="S28" s="27">
        <v>0</v>
      </c>
      <c r="T28" s="27">
        <v>1</v>
      </c>
      <c r="U28" s="27">
        <f>S28-T28</f>
        <v>-1</v>
      </c>
      <c r="W28" s="36"/>
      <c r="X28" s="39" t="s">
        <v>114</v>
      </c>
      <c r="Y28" s="27">
        <v>8</v>
      </c>
      <c r="Z28" s="27">
        <v>1</v>
      </c>
      <c r="AA28" s="27">
        <v>1</v>
      </c>
      <c r="AB28" s="27">
        <f>Z28-AA28</f>
        <v>0</v>
      </c>
      <c r="AD28" s="36"/>
      <c r="AE28" s="39" t="s">
        <v>5</v>
      </c>
      <c r="AF28" s="27">
        <v>8</v>
      </c>
      <c r="AG28" s="27">
        <v>0</v>
      </c>
      <c r="AH28" s="27">
        <v>1</v>
      </c>
      <c r="AI28" s="27">
        <f>AG28-AH28</f>
        <v>-1</v>
      </c>
    </row>
    <row r="29" spans="2:35" ht="31.5" x14ac:dyDescent="0.25">
      <c r="B29" s="37"/>
      <c r="C29" s="41"/>
      <c r="D29" s="77"/>
      <c r="E29" s="78"/>
      <c r="F29" s="78"/>
      <c r="G29" s="79"/>
      <c r="I29" s="42"/>
      <c r="J29" s="77"/>
      <c r="K29" s="78"/>
      <c r="L29" s="78"/>
      <c r="M29" s="79"/>
      <c r="O29" s="23"/>
      <c r="Q29" s="38"/>
      <c r="R29" s="77"/>
      <c r="S29" s="78"/>
      <c r="T29" s="78"/>
      <c r="U29" s="79"/>
      <c r="W29" s="23"/>
      <c r="X29" s="38" t="s">
        <v>142</v>
      </c>
      <c r="Y29" s="77" t="s">
        <v>143</v>
      </c>
      <c r="Z29" s="78"/>
      <c r="AA29" s="78"/>
      <c r="AB29" s="79"/>
      <c r="AD29" s="23"/>
      <c r="AE29" s="38"/>
      <c r="AF29" s="77"/>
      <c r="AG29" s="78"/>
      <c r="AH29" s="78"/>
      <c r="AI29" s="79"/>
    </row>
    <row r="30" spans="2:35" ht="31.5" x14ac:dyDescent="0.25">
      <c r="B30" s="36"/>
      <c r="C30" s="39" t="s">
        <v>6</v>
      </c>
      <c r="D30" s="27">
        <v>7</v>
      </c>
      <c r="E30" s="27">
        <v>0</v>
      </c>
      <c r="F30" s="27">
        <v>1</v>
      </c>
      <c r="G30" s="27">
        <f>E30-F30</f>
        <v>-1</v>
      </c>
      <c r="I30" s="40" t="s">
        <v>8</v>
      </c>
      <c r="J30" s="17">
        <v>6</v>
      </c>
      <c r="K30" s="17">
        <v>0</v>
      </c>
      <c r="L30" s="17">
        <v>2</v>
      </c>
      <c r="M30" s="17">
        <f>K30-L30</f>
        <v>-2</v>
      </c>
      <c r="O30" s="34"/>
      <c r="Q30" s="39" t="s">
        <v>136</v>
      </c>
      <c r="R30" s="27">
        <v>9</v>
      </c>
      <c r="S30" s="27">
        <v>0</v>
      </c>
      <c r="T30" s="27">
        <v>1</v>
      </c>
      <c r="U30" s="27">
        <f>S30-T30</f>
        <v>-1</v>
      </c>
      <c r="W30" s="36"/>
      <c r="X30" s="39" t="s">
        <v>144</v>
      </c>
      <c r="Y30" s="27">
        <v>9</v>
      </c>
      <c r="Z30" s="27">
        <v>0</v>
      </c>
      <c r="AA30" s="27">
        <v>1</v>
      </c>
      <c r="AB30" s="27">
        <f>Z30-AA30</f>
        <v>-1</v>
      </c>
      <c r="AD30" s="36"/>
      <c r="AE30" s="39" t="s">
        <v>6</v>
      </c>
      <c r="AF30" s="27">
        <v>7</v>
      </c>
      <c r="AG30" s="27">
        <v>0</v>
      </c>
      <c r="AH30" s="27">
        <v>3</v>
      </c>
      <c r="AI30" s="27">
        <f>AG30-AH30</f>
        <v>-3</v>
      </c>
    </row>
    <row r="31" spans="2:35" ht="15.75" x14ac:dyDescent="0.25">
      <c r="B31" s="37"/>
      <c r="C31" s="41"/>
      <c r="D31" s="77"/>
      <c r="E31" s="78"/>
      <c r="F31" s="78"/>
      <c r="G31" s="79"/>
      <c r="I31" s="42"/>
      <c r="J31" s="77"/>
      <c r="K31" s="78"/>
      <c r="L31" s="78"/>
      <c r="M31" s="79"/>
      <c r="O31" s="23"/>
      <c r="Q31" s="38"/>
      <c r="R31" s="77"/>
      <c r="S31" s="78"/>
      <c r="T31" s="78"/>
      <c r="U31" s="79"/>
      <c r="W31" s="23"/>
      <c r="X31" s="38"/>
      <c r="Y31" s="77"/>
      <c r="Z31" s="78"/>
      <c r="AA31" s="78"/>
      <c r="AB31" s="79"/>
      <c r="AD31" s="23"/>
      <c r="AE31" s="38"/>
      <c r="AF31" s="77"/>
      <c r="AG31" s="78"/>
      <c r="AH31" s="78"/>
      <c r="AI31" s="79"/>
    </row>
    <row r="32" spans="2:35" ht="31.5" x14ac:dyDescent="0.25">
      <c r="B32" s="36"/>
      <c r="C32" s="39" t="s">
        <v>8</v>
      </c>
      <c r="D32" s="27">
        <v>6</v>
      </c>
      <c r="E32" s="27">
        <v>1</v>
      </c>
      <c r="F32" s="27">
        <v>1</v>
      </c>
      <c r="G32" s="27">
        <f>E32-F32</f>
        <v>0</v>
      </c>
      <c r="I32" s="40" t="s">
        <v>7</v>
      </c>
      <c r="J32" s="17">
        <v>5</v>
      </c>
      <c r="K32" s="17">
        <v>2</v>
      </c>
      <c r="L32" s="17">
        <v>2</v>
      </c>
      <c r="M32" s="17">
        <f>K32-L32</f>
        <v>0</v>
      </c>
      <c r="O32" s="34"/>
      <c r="Q32" s="39" t="s">
        <v>145</v>
      </c>
      <c r="R32" s="27">
        <v>8</v>
      </c>
      <c r="S32" s="27">
        <v>0</v>
      </c>
      <c r="T32" s="27">
        <v>1</v>
      </c>
      <c r="U32" s="27">
        <f>S32-T32</f>
        <v>-1</v>
      </c>
      <c r="W32" s="36"/>
      <c r="X32" s="39" t="s">
        <v>113</v>
      </c>
      <c r="Y32" s="27">
        <v>8</v>
      </c>
      <c r="Z32" s="27">
        <v>0</v>
      </c>
      <c r="AA32" s="27">
        <v>1</v>
      </c>
      <c r="AB32" s="27">
        <f>Z32-AA32</f>
        <v>-1</v>
      </c>
      <c r="AD32" s="36"/>
      <c r="AE32" s="39" t="s">
        <v>8</v>
      </c>
      <c r="AF32" s="27">
        <v>7</v>
      </c>
      <c r="AG32" s="27">
        <v>2</v>
      </c>
      <c r="AH32" s="27">
        <v>2</v>
      </c>
      <c r="AI32" s="27">
        <f>AG32-AH32</f>
        <v>0</v>
      </c>
    </row>
    <row r="33" spans="2:35" ht="47.25" x14ac:dyDescent="0.25">
      <c r="B33" s="37"/>
      <c r="C33" s="43" t="s">
        <v>146</v>
      </c>
      <c r="D33" s="76" t="s">
        <v>147</v>
      </c>
      <c r="E33" s="76"/>
      <c r="F33" s="76"/>
      <c r="G33" s="76"/>
      <c r="I33" s="42" t="s">
        <v>148</v>
      </c>
      <c r="J33" s="77" t="s">
        <v>149</v>
      </c>
      <c r="K33" s="78"/>
      <c r="L33" s="78"/>
      <c r="M33" s="79"/>
      <c r="O33" s="23"/>
      <c r="Q33" s="38"/>
      <c r="R33" s="77"/>
      <c r="S33" s="78"/>
      <c r="T33" s="78"/>
      <c r="U33" s="79"/>
      <c r="W33" s="23"/>
      <c r="X33" s="38" t="s">
        <v>150</v>
      </c>
      <c r="Y33" s="77" t="s">
        <v>143</v>
      </c>
      <c r="Z33" s="78"/>
      <c r="AA33" s="78"/>
      <c r="AB33" s="79"/>
      <c r="AD33" s="23"/>
      <c r="AE33" s="38" t="s">
        <v>151</v>
      </c>
      <c r="AF33" s="77" t="s">
        <v>152</v>
      </c>
      <c r="AG33" s="78"/>
      <c r="AH33" s="78"/>
      <c r="AI33" s="79"/>
    </row>
    <row r="34" spans="2:35" ht="31.5" x14ac:dyDescent="0.25">
      <c r="B34" s="36"/>
      <c r="C34" s="39" t="s">
        <v>107</v>
      </c>
      <c r="D34" s="27">
        <v>6</v>
      </c>
      <c r="E34" s="27">
        <v>0</v>
      </c>
      <c r="F34" s="27">
        <v>2</v>
      </c>
      <c r="G34" s="27">
        <f>E34-F34</f>
        <v>-2</v>
      </c>
      <c r="I34" s="44" t="s">
        <v>153</v>
      </c>
      <c r="J34" s="77" t="s">
        <v>149</v>
      </c>
      <c r="K34" s="78"/>
      <c r="L34" s="78"/>
      <c r="M34" s="79"/>
      <c r="O34" s="34"/>
      <c r="Q34" s="39" t="s">
        <v>6</v>
      </c>
      <c r="R34" s="27">
        <v>7</v>
      </c>
      <c r="S34" s="27">
        <v>1</v>
      </c>
      <c r="T34" s="27">
        <v>3</v>
      </c>
      <c r="U34" s="27">
        <f>S34-T34</f>
        <v>-2</v>
      </c>
      <c r="W34" s="36"/>
      <c r="X34" s="39" t="s">
        <v>112</v>
      </c>
      <c r="Y34" s="27">
        <v>7</v>
      </c>
      <c r="Z34" s="27">
        <v>0</v>
      </c>
      <c r="AA34" s="27">
        <v>1</v>
      </c>
      <c r="AB34" s="27">
        <f>Z34-AA34</f>
        <v>-1</v>
      </c>
      <c r="AD34" s="23"/>
      <c r="AE34" s="38" t="s">
        <v>154</v>
      </c>
      <c r="AF34" s="77" t="s">
        <v>155</v>
      </c>
      <c r="AG34" s="78"/>
      <c r="AH34" s="78"/>
      <c r="AI34" s="79"/>
    </row>
    <row r="35" spans="2:35" ht="31.5" x14ac:dyDescent="0.25">
      <c r="B35" s="37"/>
      <c r="C35" s="41"/>
      <c r="D35" s="77"/>
      <c r="E35" s="78"/>
      <c r="F35" s="78"/>
      <c r="G35" s="79"/>
      <c r="O35" s="23"/>
      <c r="Q35" s="38" t="s">
        <v>156</v>
      </c>
      <c r="R35" s="77" t="s">
        <v>157</v>
      </c>
      <c r="S35" s="78"/>
      <c r="T35" s="78"/>
      <c r="U35" s="79"/>
      <c r="W35" s="23"/>
      <c r="X35" s="38"/>
      <c r="Y35" s="77"/>
      <c r="Z35" s="78"/>
      <c r="AA35" s="78"/>
      <c r="AB35" s="79"/>
      <c r="AD35" s="36"/>
      <c r="AE35" s="39" t="s">
        <v>7</v>
      </c>
      <c r="AF35" s="27">
        <v>5</v>
      </c>
      <c r="AG35" s="27">
        <v>1</v>
      </c>
      <c r="AH35" s="27">
        <v>1</v>
      </c>
      <c r="AI35" s="27">
        <f>AG35-AH35</f>
        <v>0</v>
      </c>
    </row>
    <row r="36" spans="2:35" ht="30.95" customHeight="1" x14ac:dyDescent="0.25">
      <c r="B36" s="36"/>
      <c r="C36" s="39" t="s">
        <v>10</v>
      </c>
      <c r="D36" s="27">
        <v>6</v>
      </c>
      <c r="E36" s="27">
        <v>0</v>
      </c>
      <c r="F36" s="27">
        <v>1</v>
      </c>
      <c r="G36" s="27">
        <f>E36-F36</f>
        <v>-1</v>
      </c>
      <c r="O36" s="34"/>
      <c r="Q36" s="39" t="s">
        <v>8</v>
      </c>
      <c r="R36" s="27">
        <v>6</v>
      </c>
      <c r="S36" s="27">
        <v>1</v>
      </c>
      <c r="T36" s="27">
        <v>3</v>
      </c>
      <c r="U36" s="27">
        <f>S36-T36</f>
        <v>-2</v>
      </c>
      <c r="W36" s="36"/>
      <c r="X36" s="11" t="s">
        <v>107</v>
      </c>
      <c r="Y36" s="12">
        <v>6</v>
      </c>
      <c r="Z36" s="12">
        <v>0</v>
      </c>
      <c r="AA36" s="12">
        <v>2</v>
      </c>
      <c r="AB36" s="12">
        <v>-2</v>
      </c>
      <c r="AE36" s="45" t="s">
        <v>160</v>
      </c>
      <c r="AF36" s="70" t="s">
        <v>161</v>
      </c>
      <c r="AG36" s="71"/>
      <c r="AH36" s="71"/>
      <c r="AI36" s="72"/>
    </row>
    <row r="37" spans="2:35" ht="31.5" customHeight="1" x14ac:dyDescent="0.25">
      <c r="B37" s="37"/>
      <c r="C37" s="41"/>
      <c r="D37" s="77"/>
      <c r="E37" s="78"/>
      <c r="F37" s="78"/>
      <c r="G37" s="79"/>
      <c r="O37" s="23"/>
      <c r="Q37" s="38" t="s">
        <v>162</v>
      </c>
      <c r="R37" s="77" t="s">
        <v>163</v>
      </c>
      <c r="S37" s="78"/>
      <c r="T37" s="78"/>
      <c r="U37" s="79"/>
      <c r="W37" s="23"/>
      <c r="X37" s="38"/>
      <c r="Y37" s="77"/>
      <c r="Z37" s="78"/>
      <c r="AA37" s="78"/>
      <c r="AB37" s="79"/>
    </row>
    <row r="38" spans="2:35" ht="31.5" x14ac:dyDescent="0.25">
      <c r="B38" s="36"/>
      <c r="C38" s="39" t="s">
        <v>9</v>
      </c>
      <c r="D38" s="27">
        <v>5</v>
      </c>
      <c r="E38" s="27">
        <v>5</v>
      </c>
      <c r="F38" s="27">
        <v>13</v>
      </c>
      <c r="G38" s="27">
        <f>E38-F38</f>
        <v>-8</v>
      </c>
      <c r="O38" s="23"/>
      <c r="Q38" s="38"/>
      <c r="R38" s="77"/>
      <c r="S38" s="78"/>
      <c r="T38" s="78"/>
      <c r="U38" s="79"/>
      <c r="W38" s="36"/>
      <c r="X38" s="39" t="s">
        <v>6</v>
      </c>
      <c r="Y38" s="27">
        <v>7</v>
      </c>
      <c r="Z38" s="27">
        <v>3</v>
      </c>
      <c r="AA38" s="27">
        <v>1</v>
      </c>
      <c r="AB38" s="27">
        <f>Z38-AA38</f>
        <v>2</v>
      </c>
    </row>
    <row r="39" spans="2:35" ht="31.5" x14ac:dyDescent="0.25">
      <c r="C39" s="46" t="s">
        <v>164</v>
      </c>
      <c r="D39" s="76" t="s">
        <v>165</v>
      </c>
      <c r="E39" s="76"/>
      <c r="F39" s="76"/>
      <c r="G39" s="76"/>
      <c r="O39" s="34"/>
      <c r="Q39" s="39" t="s">
        <v>7</v>
      </c>
      <c r="R39" s="27">
        <v>5</v>
      </c>
      <c r="S39" s="27">
        <v>1</v>
      </c>
      <c r="T39" s="27">
        <v>1</v>
      </c>
      <c r="U39" s="27">
        <f>S39-T39</f>
        <v>0</v>
      </c>
      <c r="W39" s="23"/>
      <c r="X39" s="38" t="s">
        <v>166</v>
      </c>
      <c r="Y39" s="77" t="s">
        <v>167</v>
      </c>
      <c r="Z39" s="78"/>
      <c r="AA39" s="78"/>
      <c r="AB39" s="79"/>
    </row>
    <row r="40" spans="2:35" ht="31.5" x14ac:dyDescent="0.25">
      <c r="C40" s="46" t="s">
        <v>168</v>
      </c>
      <c r="D40" s="76" t="s">
        <v>159</v>
      </c>
      <c r="E40" s="76"/>
      <c r="F40" s="76"/>
      <c r="G40" s="76"/>
      <c r="Q40" s="38" t="s">
        <v>169</v>
      </c>
      <c r="R40" s="77" t="s">
        <v>149</v>
      </c>
      <c r="S40" s="78"/>
      <c r="T40" s="78"/>
      <c r="U40" s="79"/>
      <c r="W40" s="23"/>
      <c r="X40" s="38" t="s">
        <v>170</v>
      </c>
      <c r="Y40" s="77" t="s">
        <v>167</v>
      </c>
      <c r="Z40" s="78"/>
      <c r="AA40" s="78"/>
      <c r="AB40" s="79"/>
    </row>
    <row r="41" spans="2:35" ht="31.5" x14ac:dyDescent="0.25">
      <c r="C41" s="46" t="s">
        <v>171</v>
      </c>
      <c r="D41" s="76" t="s">
        <v>172</v>
      </c>
      <c r="E41" s="76"/>
      <c r="F41" s="76"/>
      <c r="G41" s="76"/>
      <c r="W41" s="37"/>
      <c r="X41" s="38" t="s">
        <v>158</v>
      </c>
      <c r="Y41" s="77" t="s">
        <v>159</v>
      </c>
      <c r="Z41" s="78"/>
      <c r="AA41" s="78"/>
      <c r="AB41" s="79"/>
    </row>
    <row r="42" spans="2:35" ht="30.95" customHeight="1" x14ac:dyDescent="0.25">
      <c r="C42" s="46" t="s">
        <v>173</v>
      </c>
      <c r="D42" s="70" t="s">
        <v>161</v>
      </c>
      <c r="E42" s="71"/>
      <c r="F42" s="71"/>
      <c r="G42" s="72"/>
      <c r="W42" s="36"/>
      <c r="X42" s="39" t="s">
        <v>8</v>
      </c>
      <c r="Y42" s="27">
        <v>6</v>
      </c>
      <c r="Z42" s="27">
        <v>3</v>
      </c>
      <c r="AA42" s="27">
        <v>1</v>
      </c>
      <c r="AB42" s="27">
        <f>Z42-AA42</f>
        <v>2</v>
      </c>
    </row>
    <row r="43" spans="2:35" ht="30.95" customHeight="1" x14ac:dyDescent="0.25">
      <c r="C43" s="46" t="s">
        <v>175</v>
      </c>
      <c r="D43" s="70" t="s">
        <v>161</v>
      </c>
      <c r="E43" s="71"/>
      <c r="F43" s="71"/>
      <c r="G43" s="72"/>
      <c r="W43" s="23"/>
      <c r="X43" s="38" t="s">
        <v>174</v>
      </c>
      <c r="Y43" s="77" t="s">
        <v>157</v>
      </c>
      <c r="Z43" s="78"/>
      <c r="AA43" s="78"/>
      <c r="AB43" s="79"/>
    </row>
    <row r="44" spans="2:35" ht="31.5" customHeight="1" x14ac:dyDescent="0.25">
      <c r="C44" s="39" t="s">
        <v>7</v>
      </c>
      <c r="D44" s="27">
        <v>5</v>
      </c>
      <c r="E44" s="27">
        <v>4</v>
      </c>
      <c r="F44" s="27">
        <v>6</v>
      </c>
      <c r="G44" s="27">
        <f>E44-F44</f>
        <v>-2</v>
      </c>
      <c r="W44" s="23"/>
      <c r="X44" s="38" t="s">
        <v>176</v>
      </c>
      <c r="Y44" s="77" t="s">
        <v>177</v>
      </c>
      <c r="Z44" s="78"/>
      <c r="AA44" s="78"/>
      <c r="AB44" s="79"/>
    </row>
    <row r="45" spans="2:35" ht="30.95" customHeight="1" x14ac:dyDescent="0.25">
      <c r="C45" s="45" t="s">
        <v>180</v>
      </c>
      <c r="D45" s="70" t="s">
        <v>161</v>
      </c>
      <c r="E45" s="71"/>
      <c r="F45" s="71"/>
      <c r="G45" s="72"/>
      <c r="W45" s="23"/>
      <c r="X45" s="38" t="s">
        <v>178</v>
      </c>
      <c r="Y45" s="77" t="s">
        <v>179</v>
      </c>
      <c r="Z45" s="78"/>
      <c r="AA45" s="78"/>
      <c r="AB45" s="79"/>
    </row>
    <row r="46" spans="2:35" ht="36.75" customHeight="1" x14ac:dyDescent="0.25">
      <c r="C46" s="47" t="s">
        <v>181</v>
      </c>
      <c r="D46" s="73" t="s">
        <v>149</v>
      </c>
      <c r="E46" s="74"/>
      <c r="F46" s="74"/>
      <c r="G46" s="75"/>
      <c r="W46" s="36"/>
      <c r="X46" s="39" t="s">
        <v>7</v>
      </c>
      <c r="Y46" s="27">
        <v>5</v>
      </c>
      <c r="Z46" s="27">
        <v>0</v>
      </c>
      <c r="AA46" s="27">
        <v>5</v>
      </c>
      <c r="AB46" s="27">
        <f>Z46-AA46</f>
        <v>-5</v>
      </c>
    </row>
    <row r="47" spans="2:35" ht="30" x14ac:dyDescent="0.25">
      <c r="C47" s="47" t="s">
        <v>182</v>
      </c>
      <c r="D47" s="73" t="s">
        <v>149</v>
      </c>
      <c r="E47" s="74"/>
      <c r="F47" s="74"/>
      <c r="G47" s="75"/>
      <c r="W47" s="23"/>
      <c r="X47" s="38"/>
      <c r="Y47" s="20"/>
      <c r="Z47" s="49"/>
      <c r="AA47" s="49"/>
      <c r="AB47" s="21"/>
    </row>
    <row r="48" spans="2:35" ht="31.5" x14ac:dyDescent="0.25">
      <c r="C48" s="47" t="s">
        <v>184</v>
      </c>
      <c r="D48" s="73" t="s">
        <v>149</v>
      </c>
      <c r="E48" s="74"/>
      <c r="F48" s="74"/>
      <c r="G48" s="75"/>
      <c r="W48" s="36"/>
      <c r="X48" s="39" t="s">
        <v>183</v>
      </c>
      <c r="Y48" s="27">
        <v>7</v>
      </c>
      <c r="Z48" s="27">
        <v>0</v>
      </c>
      <c r="AA48" s="27">
        <v>1</v>
      </c>
      <c r="AB48" s="27">
        <f>Z48-AA48</f>
        <v>-1</v>
      </c>
    </row>
    <row r="49" spans="3:28" ht="30.95" customHeight="1" x14ac:dyDescent="0.25">
      <c r="C49" s="39" t="s">
        <v>22</v>
      </c>
      <c r="D49" s="27">
        <v>1</v>
      </c>
      <c r="E49" s="27">
        <v>4</v>
      </c>
      <c r="F49" s="27">
        <v>6</v>
      </c>
      <c r="G49" s="27">
        <f>E49-F49</f>
        <v>-2</v>
      </c>
      <c r="W49" s="23"/>
      <c r="X49" s="38"/>
      <c r="Y49" s="20"/>
      <c r="Z49" s="49"/>
      <c r="AA49" s="49"/>
      <c r="AB49" s="21"/>
    </row>
    <row r="50" spans="3:28" ht="27.95" customHeight="1" x14ac:dyDescent="0.25">
      <c r="C50" s="43" t="s">
        <v>186</v>
      </c>
      <c r="D50" s="70" t="s">
        <v>187</v>
      </c>
      <c r="E50" s="71"/>
      <c r="F50" s="71"/>
      <c r="G50" s="72"/>
      <c r="W50" s="36"/>
      <c r="X50" s="39" t="s">
        <v>185</v>
      </c>
      <c r="Y50" s="27">
        <v>7</v>
      </c>
      <c r="Z50" s="27">
        <v>0</v>
      </c>
      <c r="AA50" s="27">
        <v>1</v>
      </c>
      <c r="AB50" s="27">
        <f>Z50-AA50</f>
        <v>-1</v>
      </c>
    </row>
    <row r="51" spans="3:28" ht="27.95" customHeight="1" x14ac:dyDescent="0.25">
      <c r="C51" s="43" t="s">
        <v>188</v>
      </c>
      <c r="D51" s="70" t="s">
        <v>187</v>
      </c>
      <c r="E51" s="71"/>
      <c r="F51" s="71"/>
      <c r="G51" s="72"/>
      <c r="W51" s="22"/>
      <c r="X51" s="38"/>
      <c r="Y51" s="20"/>
      <c r="Z51" s="49"/>
      <c r="AA51" s="49"/>
      <c r="AB51" s="21"/>
    </row>
    <row r="52" spans="3:28" ht="45" customHeight="1" x14ac:dyDescent="0.25">
      <c r="C52" s="43" t="s">
        <v>189</v>
      </c>
      <c r="D52" s="70" t="s">
        <v>187</v>
      </c>
      <c r="E52" s="71"/>
      <c r="F52" s="71"/>
      <c r="G52" s="72"/>
      <c r="W52" s="23"/>
    </row>
    <row r="53" spans="3:28" ht="45" customHeight="1" x14ac:dyDescent="0.25">
      <c r="C53" s="43" t="s">
        <v>191</v>
      </c>
      <c r="D53" s="70" t="s">
        <v>187</v>
      </c>
      <c r="E53" s="71"/>
      <c r="F53" s="71"/>
      <c r="G53" s="72"/>
      <c r="W53" s="34"/>
      <c r="X53" s="39" t="s">
        <v>190</v>
      </c>
      <c r="Y53" s="27">
        <v>10</v>
      </c>
      <c r="Z53" s="27">
        <v>0</v>
      </c>
      <c r="AA53" s="27">
        <v>1</v>
      </c>
      <c r="AB53" s="27">
        <f>Z53-AA53</f>
        <v>-1</v>
      </c>
    </row>
    <row r="54" spans="3:28" ht="45" customHeight="1" x14ac:dyDescent="0.25">
      <c r="C54" s="43" t="s">
        <v>192</v>
      </c>
      <c r="D54" s="70" t="s">
        <v>187</v>
      </c>
      <c r="E54" s="71"/>
      <c r="F54" s="71"/>
      <c r="G54" s="72"/>
      <c r="W54" s="35"/>
      <c r="X54" s="38"/>
      <c r="Y54" s="20"/>
      <c r="Z54" s="49"/>
      <c r="AA54" s="49"/>
      <c r="AB54" s="21"/>
    </row>
    <row r="55" spans="3:28" ht="31.5" x14ac:dyDescent="0.25">
      <c r="W55" s="36"/>
      <c r="X55" s="39" t="s">
        <v>193</v>
      </c>
      <c r="Y55" s="27">
        <v>8</v>
      </c>
      <c r="Z55" s="27">
        <v>0</v>
      </c>
      <c r="AA55" s="27">
        <v>1</v>
      </c>
      <c r="AB55" s="27">
        <f>Z55-AA55</f>
        <v>-1</v>
      </c>
    </row>
    <row r="56" spans="3:28" ht="15.75" x14ac:dyDescent="0.25">
      <c r="X56" s="38"/>
      <c r="Y56" s="20"/>
      <c r="Z56" s="49"/>
      <c r="AA56" s="49"/>
      <c r="AB56" s="21"/>
    </row>
  </sheetData>
  <mergeCells count="108">
    <mergeCell ref="Y44:AB44"/>
    <mergeCell ref="Y45:AB45"/>
    <mergeCell ref="Y41:AB41"/>
    <mergeCell ref="N5:S7"/>
    <mergeCell ref="N8:P9"/>
    <mergeCell ref="O10:S10"/>
    <mergeCell ref="I16:M16"/>
    <mergeCell ref="Q16:U16"/>
    <mergeCell ref="X16:AB16"/>
    <mergeCell ref="AG23:AG24"/>
    <mergeCell ref="AH23:AH24"/>
    <mergeCell ref="AI23:AI24"/>
    <mergeCell ref="I24:J25"/>
    <mergeCell ref="AB23:AB24"/>
    <mergeCell ref="AE23:AE24"/>
    <mergeCell ref="AF23:AF24"/>
    <mergeCell ref="AH25:AH26"/>
    <mergeCell ref="AI25:AI26"/>
    <mergeCell ref="AE16:AI16"/>
    <mergeCell ref="I17:J18"/>
    <mergeCell ref="Q17:Q18"/>
    <mergeCell ref="X17:X18"/>
    <mergeCell ref="AE17:AE18"/>
    <mergeCell ref="J20:M20"/>
    <mergeCell ref="R20:U20"/>
    <mergeCell ref="Y20:AB20"/>
    <mergeCell ref="AF20:AI20"/>
    <mergeCell ref="C25:C26"/>
    <mergeCell ref="D25:D26"/>
    <mergeCell ref="E25:E26"/>
    <mergeCell ref="F25:F26"/>
    <mergeCell ref="G25:G26"/>
    <mergeCell ref="Q25:Q26"/>
    <mergeCell ref="Y23:Y24"/>
    <mergeCell ref="Z23:Z24"/>
    <mergeCell ref="AA23:AA24"/>
    <mergeCell ref="Q23:Q24"/>
    <mergeCell ref="R23:R24"/>
    <mergeCell ref="S23:S24"/>
    <mergeCell ref="T23:T24"/>
    <mergeCell ref="U23:U24"/>
    <mergeCell ref="X23:X24"/>
    <mergeCell ref="C23:C24"/>
    <mergeCell ref="D23:D24"/>
    <mergeCell ref="E23:E24"/>
    <mergeCell ref="F23:F24"/>
    <mergeCell ref="G23:G24"/>
    <mergeCell ref="I23:M23"/>
    <mergeCell ref="D27:G27"/>
    <mergeCell ref="J27:M27"/>
    <mergeCell ref="R27:U27"/>
    <mergeCell ref="Y27:AB27"/>
    <mergeCell ref="AF27:AI27"/>
    <mergeCell ref="Z25:Z26"/>
    <mergeCell ref="AA25:AA26"/>
    <mergeCell ref="AB25:AB26"/>
    <mergeCell ref="AE25:AE26"/>
    <mergeCell ref="AF25:AF26"/>
    <mergeCell ref="AG25:AG26"/>
    <mergeCell ref="R25:R26"/>
    <mergeCell ref="S25:S26"/>
    <mergeCell ref="T25:T26"/>
    <mergeCell ref="U25:U26"/>
    <mergeCell ref="X25:X26"/>
    <mergeCell ref="Y25:Y26"/>
    <mergeCell ref="D29:G29"/>
    <mergeCell ref="J29:M29"/>
    <mergeCell ref="R29:U29"/>
    <mergeCell ref="Y29:AB29"/>
    <mergeCell ref="AF29:AI29"/>
    <mergeCell ref="D31:G31"/>
    <mergeCell ref="J31:M31"/>
    <mergeCell ref="R31:U31"/>
    <mergeCell ref="Y31:AB31"/>
    <mergeCell ref="AF31:AI31"/>
    <mergeCell ref="D35:G35"/>
    <mergeCell ref="R35:U35"/>
    <mergeCell ref="Y35:AB35"/>
    <mergeCell ref="AF36:AI36"/>
    <mergeCell ref="D37:G37"/>
    <mergeCell ref="R37:U37"/>
    <mergeCell ref="Y37:AB37"/>
    <mergeCell ref="D33:G33"/>
    <mergeCell ref="J33:M33"/>
    <mergeCell ref="R33:U33"/>
    <mergeCell ref="Y33:AB33"/>
    <mergeCell ref="AF33:AI33"/>
    <mergeCell ref="J34:M34"/>
    <mergeCell ref="AF34:AI34"/>
    <mergeCell ref="D41:G41"/>
    <mergeCell ref="D42:G42"/>
    <mergeCell ref="D43:G43"/>
    <mergeCell ref="Y43:AB43"/>
    <mergeCell ref="R38:U38"/>
    <mergeCell ref="D39:G39"/>
    <mergeCell ref="Y39:AB39"/>
    <mergeCell ref="D40:G40"/>
    <mergeCell ref="R40:U40"/>
    <mergeCell ref="Y40:AB40"/>
    <mergeCell ref="D54:G54"/>
    <mergeCell ref="D50:G50"/>
    <mergeCell ref="D51:G51"/>
    <mergeCell ref="D52:G52"/>
    <mergeCell ref="D53:G53"/>
    <mergeCell ref="D45:G45"/>
    <mergeCell ref="D46:G46"/>
    <mergeCell ref="D47:G47"/>
    <mergeCell ref="D48:G48"/>
  </mergeCells>
  <pageMargins left="0.19" right="0.19" top="0.44" bottom="0.39" header="0.3" footer="0.3"/>
  <pageSetup paperSize="9" scale="1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2916-A958-41C2-A2F2-DACE325B35E4}">
  <sheetPr>
    <pageSetUpPr fitToPage="1"/>
  </sheetPr>
  <dimension ref="A1:D67"/>
  <sheetViews>
    <sheetView tabSelected="1" workbookViewId="0">
      <selection activeCell="C66" sqref="C66"/>
    </sheetView>
  </sheetViews>
  <sheetFormatPr defaultRowHeight="15" x14ac:dyDescent="0.2"/>
  <cols>
    <col min="1" max="1" width="7" style="59" customWidth="1"/>
    <col min="2" max="2" width="39.7109375" style="59" customWidth="1"/>
    <col min="3" max="3" width="60.5703125" style="59" bestFit="1" customWidth="1"/>
    <col min="4" max="4" width="34.5703125" style="59" customWidth="1"/>
    <col min="5" max="5" width="17.85546875" style="59" customWidth="1"/>
    <col min="6" max="16384" width="9.140625" style="59"/>
  </cols>
  <sheetData>
    <row r="1" spans="1:4" ht="15.75" x14ac:dyDescent="0.25">
      <c r="A1" s="66" t="s">
        <v>326</v>
      </c>
      <c r="B1" s="66"/>
      <c r="C1" s="66"/>
      <c r="D1" s="66"/>
    </row>
    <row r="3" spans="1:4" x14ac:dyDescent="0.2">
      <c r="A3" s="59" t="s">
        <v>329</v>
      </c>
    </row>
    <row r="4" spans="1:4" x14ac:dyDescent="0.2">
      <c r="A4" s="59" t="s">
        <v>330</v>
      </c>
    </row>
    <row r="5" spans="1:4" x14ac:dyDescent="0.2">
      <c r="A5" s="59" t="s">
        <v>331</v>
      </c>
    </row>
    <row r="7" spans="1:4" ht="15.75" x14ac:dyDescent="0.25">
      <c r="A7" s="60" t="s">
        <v>24</v>
      </c>
      <c r="B7" s="60" t="s">
        <v>25</v>
      </c>
      <c r="C7" s="60" t="s">
        <v>27</v>
      </c>
      <c r="D7" s="60" t="s">
        <v>327</v>
      </c>
    </row>
    <row r="8" spans="1:4" ht="39.950000000000003" customHeight="1" x14ac:dyDescent="0.2">
      <c r="A8" s="62">
        <v>1</v>
      </c>
      <c r="B8" s="63" t="s">
        <v>30</v>
      </c>
      <c r="C8" s="63" t="s">
        <v>102</v>
      </c>
      <c r="D8" s="61">
        <v>1</v>
      </c>
    </row>
    <row r="9" spans="1:4" ht="39.950000000000003" customHeight="1" x14ac:dyDescent="0.2">
      <c r="A9" s="62">
        <v>2</v>
      </c>
      <c r="B9" s="63" t="s">
        <v>31</v>
      </c>
      <c r="C9" s="63" t="s">
        <v>103</v>
      </c>
      <c r="D9" s="62">
        <v>2</v>
      </c>
    </row>
    <row r="10" spans="1:4" ht="39.950000000000003" customHeight="1" x14ac:dyDescent="0.2">
      <c r="A10" s="62">
        <v>3</v>
      </c>
      <c r="B10" s="63" t="s">
        <v>32</v>
      </c>
      <c r="C10" s="63" t="s">
        <v>111</v>
      </c>
      <c r="D10" s="61">
        <v>3</v>
      </c>
    </row>
    <row r="11" spans="1:4" ht="39.950000000000003" customHeight="1" x14ac:dyDescent="0.2">
      <c r="A11" s="62">
        <v>4</v>
      </c>
      <c r="B11" s="63" t="s">
        <v>33</v>
      </c>
      <c r="C11" s="63" t="s">
        <v>105</v>
      </c>
      <c r="D11" s="62">
        <v>4</v>
      </c>
    </row>
    <row r="12" spans="1:4" ht="39.950000000000003" customHeight="1" x14ac:dyDescent="0.2">
      <c r="A12" s="62">
        <v>5</v>
      </c>
      <c r="B12" s="63" t="s">
        <v>34</v>
      </c>
      <c r="C12" s="63" t="s">
        <v>108</v>
      </c>
      <c r="D12" s="61">
        <v>5</v>
      </c>
    </row>
    <row r="13" spans="1:4" ht="39.950000000000003" customHeight="1" x14ac:dyDescent="0.2">
      <c r="A13" s="62">
        <v>6</v>
      </c>
      <c r="B13" s="63" t="s">
        <v>36</v>
      </c>
      <c r="C13" s="63" t="s">
        <v>104</v>
      </c>
      <c r="D13" s="62">
        <v>6</v>
      </c>
    </row>
    <row r="14" spans="1:4" ht="39.950000000000003" customHeight="1" x14ac:dyDescent="0.2">
      <c r="A14" s="62">
        <v>7</v>
      </c>
      <c r="B14" s="63" t="s">
        <v>35</v>
      </c>
      <c r="C14" s="63" t="s">
        <v>196</v>
      </c>
      <c r="D14" s="61">
        <v>7</v>
      </c>
    </row>
    <row r="15" spans="1:4" ht="39.950000000000003" customHeight="1" x14ac:dyDescent="0.2">
      <c r="A15" s="62">
        <v>8</v>
      </c>
      <c r="B15" s="63" t="s">
        <v>48</v>
      </c>
      <c r="C15" s="63" t="s">
        <v>113</v>
      </c>
      <c r="D15" s="62">
        <v>8</v>
      </c>
    </row>
    <row r="16" spans="1:4" ht="39.950000000000003" customHeight="1" x14ac:dyDescent="0.2">
      <c r="A16" s="62">
        <v>9</v>
      </c>
      <c r="B16" s="63" t="s">
        <v>49</v>
      </c>
      <c r="C16" s="63" t="s">
        <v>114</v>
      </c>
      <c r="D16" s="61">
        <v>9</v>
      </c>
    </row>
    <row r="17" spans="1:4" ht="39.950000000000003" customHeight="1" x14ac:dyDescent="0.2">
      <c r="A17" s="62">
        <v>10</v>
      </c>
      <c r="B17" s="63" t="s">
        <v>37</v>
      </c>
      <c r="C17" s="63" t="s">
        <v>6</v>
      </c>
      <c r="D17" s="62">
        <v>10</v>
      </c>
    </row>
    <row r="18" spans="1:4" ht="39.950000000000003" customHeight="1" x14ac:dyDescent="0.2">
      <c r="A18" s="62">
        <v>11</v>
      </c>
      <c r="B18" s="63" t="s">
        <v>40</v>
      </c>
      <c r="C18" s="63" t="s">
        <v>6</v>
      </c>
      <c r="D18" s="61">
        <v>11</v>
      </c>
    </row>
    <row r="19" spans="1:4" ht="39.950000000000003" customHeight="1" x14ac:dyDescent="0.2">
      <c r="A19" s="62">
        <v>12</v>
      </c>
      <c r="B19" s="63" t="s">
        <v>43</v>
      </c>
      <c r="C19" s="63" t="s">
        <v>6</v>
      </c>
      <c r="D19" s="62">
        <v>12</v>
      </c>
    </row>
    <row r="20" spans="1:4" ht="39.950000000000003" customHeight="1" x14ac:dyDescent="0.2">
      <c r="A20" s="62">
        <v>13</v>
      </c>
      <c r="B20" s="63" t="s">
        <v>44</v>
      </c>
      <c r="C20" s="63" t="s">
        <v>6</v>
      </c>
      <c r="D20" s="61">
        <v>13</v>
      </c>
    </row>
    <row r="21" spans="1:4" ht="39.950000000000003" customHeight="1" x14ac:dyDescent="0.2">
      <c r="A21" s="62">
        <v>14</v>
      </c>
      <c r="B21" s="63" t="s">
        <v>106</v>
      </c>
      <c r="C21" s="63" t="s">
        <v>8</v>
      </c>
      <c r="D21" s="62">
        <v>14</v>
      </c>
    </row>
    <row r="22" spans="1:4" ht="39.950000000000003" customHeight="1" x14ac:dyDescent="0.2">
      <c r="A22" s="62">
        <v>15</v>
      </c>
      <c r="B22" s="63" t="s">
        <v>38</v>
      </c>
      <c r="C22" s="63" t="s">
        <v>8</v>
      </c>
      <c r="D22" s="61">
        <v>15</v>
      </c>
    </row>
    <row r="23" spans="1:4" ht="39.950000000000003" customHeight="1" x14ac:dyDescent="0.2">
      <c r="A23" s="62">
        <v>16</v>
      </c>
      <c r="B23" s="63" t="s">
        <v>39</v>
      </c>
      <c r="C23" s="63" t="s">
        <v>8</v>
      </c>
      <c r="D23" s="62">
        <v>16</v>
      </c>
    </row>
    <row r="24" spans="1:4" ht="39.950000000000003" customHeight="1" x14ac:dyDescent="0.2">
      <c r="A24" s="62">
        <v>17</v>
      </c>
      <c r="B24" s="63" t="s">
        <v>41</v>
      </c>
      <c r="C24" s="63" t="s">
        <v>8</v>
      </c>
      <c r="D24" s="61">
        <v>17</v>
      </c>
    </row>
    <row r="25" spans="1:4" ht="39.950000000000003" customHeight="1" x14ac:dyDescent="0.2">
      <c r="A25" s="62">
        <v>18</v>
      </c>
      <c r="B25" s="63" t="s">
        <v>42</v>
      </c>
      <c r="C25" s="63" t="s">
        <v>8</v>
      </c>
      <c r="D25" s="62">
        <v>18</v>
      </c>
    </row>
    <row r="26" spans="1:4" ht="39.950000000000003" customHeight="1" x14ac:dyDescent="0.2">
      <c r="A26" s="62">
        <v>19</v>
      </c>
      <c r="B26" s="63" t="s">
        <v>109</v>
      </c>
      <c r="C26" s="63" t="s">
        <v>8</v>
      </c>
      <c r="D26" s="61">
        <v>19</v>
      </c>
    </row>
    <row r="27" spans="1:4" ht="39.950000000000003" customHeight="1" x14ac:dyDescent="0.2">
      <c r="A27" s="62">
        <v>20</v>
      </c>
      <c r="B27" s="63" t="s">
        <v>110</v>
      </c>
      <c r="C27" s="63" t="s">
        <v>8</v>
      </c>
      <c r="D27" s="62">
        <v>20</v>
      </c>
    </row>
    <row r="28" spans="1:4" ht="39.950000000000003" customHeight="1" x14ac:dyDescent="0.2">
      <c r="A28" s="62">
        <v>21</v>
      </c>
      <c r="B28" s="63" t="s">
        <v>45</v>
      </c>
      <c r="C28" s="63" t="s">
        <v>9</v>
      </c>
      <c r="D28" s="61">
        <v>21</v>
      </c>
    </row>
    <row r="29" spans="1:4" ht="39.950000000000003" customHeight="1" x14ac:dyDescent="0.2">
      <c r="A29" s="62">
        <v>22</v>
      </c>
      <c r="B29" s="63" t="s">
        <v>46</v>
      </c>
      <c r="C29" s="63" t="s">
        <v>9</v>
      </c>
      <c r="D29" s="62">
        <v>22</v>
      </c>
    </row>
    <row r="30" spans="1:4" ht="39.950000000000003" customHeight="1" x14ac:dyDescent="0.2">
      <c r="A30" s="62">
        <v>23</v>
      </c>
      <c r="B30" s="63" t="s">
        <v>47</v>
      </c>
      <c r="C30" s="63" t="s">
        <v>9</v>
      </c>
      <c r="D30" s="61">
        <v>23</v>
      </c>
    </row>
    <row r="31" spans="1:4" ht="39.950000000000003" customHeight="1" x14ac:dyDescent="0.2">
      <c r="A31" s="62">
        <v>24</v>
      </c>
      <c r="B31" s="63" t="s">
        <v>50</v>
      </c>
      <c r="C31" s="63" t="s">
        <v>9</v>
      </c>
      <c r="D31" s="62">
        <v>24</v>
      </c>
    </row>
    <row r="32" spans="1:4" ht="39.950000000000003" customHeight="1" x14ac:dyDescent="0.2">
      <c r="A32" s="62">
        <v>25</v>
      </c>
      <c r="B32" s="63" t="s">
        <v>51</v>
      </c>
      <c r="C32" s="63" t="s">
        <v>9</v>
      </c>
      <c r="D32" s="61">
        <v>25</v>
      </c>
    </row>
    <row r="33" spans="1:4" ht="39.950000000000003" customHeight="1" x14ac:dyDescent="0.2">
      <c r="A33" s="62">
        <v>26</v>
      </c>
      <c r="B33" s="63" t="s">
        <v>52</v>
      </c>
      <c r="C33" s="63" t="s">
        <v>7</v>
      </c>
      <c r="D33" s="62">
        <v>26</v>
      </c>
    </row>
    <row r="34" spans="1:4" ht="39.950000000000003" customHeight="1" x14ac:dyDescent="0.2">
      <c r="A34" s="62">
        <v>27</v>
      </c>
      <c r="B34" s="63" t="s">
        <v>53</v>
      </c>
      <c r="C34" s="63" t="s">
        <v>7</v>
      </c>
      <c r="D34" s="61">
        <v>27</v>
      </c>
    </row>
    <row r="35" spans="1:4" ht="39.950000000000003" customHeight="1" x14ac:dyDescent="0.2">
      <c r="A35" s="62">
        <v>28</v>
      </c>
      <c r="B35" s="63" t="s">
        <v>54</v>
      </c>
      <c r="C35" s="63" t="s">
        <v>7</v>
      </c>
      <c r="D35" s="62">
        <v>28</v>
      </c>
    </row>
    <row r="36" spans="1:4" ht="39.950000000000003" customHeight="1" x14ac:dyDescent="0.2">
      <c r="A36" s="62">
        <v>29</v>
      </c>
      <c r="B36" s="63" t="s">
        <v>55</v>
      </c>
      <c r="C36" s="63" t="s">
        <v>7</v>
      </c>
      <c r="D36" s="61">
        <v>29</v>
      </c>
    </row>
    <row r="37" spans="1:4" ht="39.950000000000003" customHeight="1" x14ac:dyDescent="0.2">
      <c r="A37" s="62">
        <v>30</v>
      </c>
      <c r="B37" s="63" t="s">
        <v>56</v>
      </c>
      <c r="C37" s="63" t="s">
        <v>7</v>
      </c>
      <c r="D37" s="62">
        <v>30</v>
      </c>
    </row>
    <row r="38" spans="1:4" ht="39.950000000000003" customHeight="1" x14ac:dyDescent="0.2">
      <c r="A38" s="62">
        <v>31</v>
      </c>
      <c r="B38" s="63" t="s">
        <v>57</v>
      </c>
      <c r="C38" s="63" t="s">
        <v>7</v>
      </c>
      <c r="D38" s="61">
        <v>31</v>
      </c>
    </row>
    <row r="39" spans="1:4" ht="39.950000000000003" customHeight="1" x14ac:dyDescent="0.2">
      <c r="A39" s="62">
        <v>32</v>
      </c>
      <c r="B39" s="63" t="s">
        <v>58</v>
      </c>
      <c r="C39" s="63" t="s">
        <v>7</v>
      </c>
      <c r="D39" s="62">
        <v>32</v>
      </c>
    </row>
    <row r="40" spans="1:4" ht="39.950000000000003" customHeight="1" x14ac:dyDescent="0.2">
      <c r="A40" s="62">
        <v>33</v>
      </c>
      <c r="B40" s="63" t="s">
        <v>59</v>
      </c>
      <c r="C40" s="63" t="s">
        <v>7</v>
      </c>
      <c r="D40" s="61">
        <v>33</v>
      </c>
    </row>
    <row r="41" spans="1:4" ht="39.950000000000003" customHeight="1" x14ac:dyDescent="0.2">
      <c r="A41" s="62">
        <v>34</v>
      </c>
      <c r="B41" s="63" t="s">
        <v>60</v>
      </c>
      <c r="C41" s="63" t="s">
        <v>22</v>
      </c>
      <c r="D41" s="62">
        <v>34</v>
      </c>
    </row>
    <row r="42" spans="1:4" ht="39.950000000000003" customHeight="1" x14ac:dyDescent="0.2">
      <c r="A42" s="62">
        <v>35</v>
      </c>
      <c r="B42" s="63" t="s">
        <v>61</v>
      </c>
      <c r="C42" s="63" t="s">
        <v>22</v>
      </c>
      <c r="D42" s="61">
        <v>35</v>
      </c>
    </row>
    <row r="43" spans="1:4" ht="39.950000000000003" customHeight="1" x14ac:dyDescent="0.2">
      <c r="A43" s="62">
        <v>36</v>
      </c>
      <c r="B43" s="63" t="s">
        <v>62</v>
      </c>
      <c r="C43" s="63" t="s">
        <v>22</v>
      </c>
      <c r="D43" s="62">
        <v>36</v>
      </c>
    </row>
    <row r="44" spans="1:4" ht="39.950000000000003" customHeight="1" x14ac:dyDescent="0.2">
      <c r="A44" s="62">
        <v>37</v>
      </c>
      <c r="B44" s="63" t="s">
        <v>63</v>
      </c>
      <c r="C44" s="63" t="s">
        <v>22</v>
      </c>
      <c r="D44" s="61">
        <v>37</v>
      </c>
    </row>
    <row r="45" spans="1:4" ht="39.950000000000003" customHeight="1" x14ac:dyDescent="0.2">
      <c r="A45" s="62">
        <v>38</v>
      </c>
      <c r="B45" s="63" t="s">
        <v>64</v>
      </c>
      <c r="C45" s="63" t="s">
        <v>22</v>
      </c>
      <c r="D45" s="62">
        <v>38</v>
      </c>
    </row>
    <row r="46" spans="1:4" ht="39.950000000000003" customHeight="1" x14ac:dyDescent="0.2">
      <c r="A46" s="62">
        <v>39</v>
      </c>
      <c r="B46" s="63" t="s">
        <v>205</v>
      </c>
      <c r="C46" s="63" t="s">
        <v>9</v>
      </c>
      <c r="D46" s="61">
        <v>39</v>
      </c>
    </row>
    <row r="47" spans="1:4" ht="39.950000000000003" customHeight="1" x14ac:dyDescent="0.2">
      <c r="A47" s="62">
        <v>40</v>
      </c>
      <c r="B47" s="63" t="s">
        <v>200</v>
      </c>
      <c r="C47" s="63" t="s">
        <v>9</v>
      </c>
      <c r="D47" s="62">
        <v>40</v>
      </c>
    </row>
    <row r="48" spans="1:4" ht="39.950000000000003" customHeight="1" x14ac:dyDescent="0.2">
      <c r="A48" s="62">
        <v>41</v>
      </c>
      <c r="B48" s="63" t="s">
        <v>221</v>
      </c>
      <c r="C48" s="63" t="s">
        <v>9</v>
      </c>
      <c r="D48" s="61">
        <v>41</v>
      </c>
    </row>
    <row r="49" spans="1:4" ht="39.950000000000003" customHeight="1" x14ac:dyDescent="0.2">
      <c r="A49" s="62">
        <v>42</v>
      </c>
      <c r="B49" s="63" t="s">
        <v>223</v>
      </c>
      <c r="C49" s="63" t="s">
        <v>9</v>
      </c>
      <c r="D49" s="62">
        <v>42</v>
      </c>
    </row>
    <row r="50" spans="1:4" ht="39.950000000000003" customHeight="1" x14ac:dyDescent="0.2">
      <c r="A50" s="62">
        <v>43</v>
      </c>
      <c r="B50" s="63" t="s">
        <v>198</v>
      </c>
      <c r="C50" s="63" t="s">
        <v>9</v>
      </c>
      <c r="D50" s="61">
        <v>43</v>
      </c>
    </row>
    <row r="51" spans="1:4" ht="39.950000000000003" customHeight="1" x14ac:dyDescent="0.2">
      <c r="A51" s="62">
        <v>44</v>
      </c>
      <c r="B51" s="63" t="s">
        <v>202</v>
      </c>
      <c r="C51" s="63" t="s">
        <v>9</v>
      </c>
      <c r="D51" s="62">
        <v>44</v>
      </c>
    </row>
    <row r="52" spans="1:4" ht="39.950000000000003" customHeight="1" x14ac:dyDescent="0.2">
      <c r="A52" s="62">
        <v>45</v>
      </c>
      <c r="B52" s="63" t="s">
        <v>206</v>
      </c>
      <c r="C52" s="63" t="s">
        <v>9</v>
      </c>
      <c r="D52" s="61">
        <v>45</v>
      </c>
    </row>
    <row r="53" spans="1:4" ht="39.950000000000003" customHeight="1" x14ac:dyDescent="0.2">
      <c r="A53" s="62">
        <v>46</v>
      </c>
      <c r="B53" s="63" t="s">
        <v>208</v>
      </c>
      <c r="C53" s="63" t="s">
        <v>9</v>
      </c>
      <c r="D53" s="62">
        <v>46</v>
      </c>
    </row>
    <row r="54" spans="1:4" ht="39.950000000000003" customHeight="1" x14ac:dyDescent="0.2">
      <c r="A54" s="62">
        <v>47</v>
      </c>
      <c r="B54" s="63" t="s">
        <v>210</v>
      </c>
      <c r="C54" s="63" t="s">
        <v>9</v>
      </c>
      <c r="D54" s="61">
        <v>47</v>
      </c>
    </row>
    <row r="55" spans="1:4" ht="39.950000000000003" customHeight="1" x14ac:dyDescent="0.2">
      <c r="A55" s="62">
        <v>48</v>
      </c>
      <c r="B55" s="63" t="s">
        <v>213</v>
      </c>
      <c r="C55" s="63" t="s">
        <v>9</v>
      </c>
      <c r="D55" s="62">
        <v>48</v>
      </c>
    </row>
    <row r="56" spans="1:4" ht="39.950000000000003" customHeight="1" x14ac:dyDescent="0.2">
      <c r="A56" s="62">
        <v>49</v>
      </c>
      <c r="B56" s="63" t="s">
        <v>215</v>
      </c>
      <c r="C56" s="63" t="s">
        <v>9</v>
      </c>
      <c r="D56" s="61">
        <v>49</v>
      </c>
    </row>
    <row r="57" spans="1:4" ht="39.950000000000003" customHeight="1" x14ac:dyDescent="0.2">
      <c r="A57" s="62">
        <v>50</v>
      </c>
      <c r="B57" s="63" t="s">
        <v>51</v>
      </c>
      <c r="C57" s="63" t="s">
        <v>22</v>
      </c>
      <c r="D57" s="62">
        <v>50</v>
      </c>
    </row>
    <row r="58" spans="1:4" ht="39.950000000000003" customHeight="1" x14ac:dyDescent="0.2">
      <c r="A58" s="62">
        <v>51</v>
      </c>
      <c r="B58" s="63" t="s">
        <v>217</v>
      </c>
      <c r="C58" s="63" t="s">
        <v>22</v>
      </c>
      <c r="D58" s="61">
        <v>51</v>
      </c>
    </row>
    <row r="59" spans="1:4" ht="39.950000000000003" customHeight="1" x14ac:dyDescent="0.2">
      <c r="A59" s="62">
        <v>52</v>
      </c>
      <c r="B59" s="63" t="s">
        <v>219</v>
      </c>
      <c r="C59" s="63" t="s">
        <v>22</v>
      </c>
      <c r="D59" s="62">
        <v>52</v>
      </c>
    </row>
    <row r="60" spans="1:4" ht="39.950000000000003" customHeight="1" x14ac:dyDescent="0.2">
      <c r="A60" s="62">
        <v>53</v>
      </c>
      <c r="B60" s="63" t="s">
        <v>242</v>
      </c>
      <c r="C60" s="63" t="s">
        <v>328</v>
      </c>
      <c r="D60" s="61">
        <v>53</v>
      </c>
    </row>
    <row r="61" spans="1:4" ht="39.950000000000003" customHeight="1" x14ac:dyDescent="0.2">
      <c r="A61" s="62">
        <v>54</v>
      </c>
      <c r="B61" s="63" t="s">
        <v>251</v>
      </c>
      <c r="C61" s="63" t="s">
        <v>259</v>
      </c>
      <c r="D61" s="62">
        <v>54</v>
      </c>
    </row>
    <row r="62" spans="1:4" ht="39.950000000000003" customHeight="1" x14ac:dyDescent="0.2">
      <c r="A62" s="62">
        <v>55</v>
      </c>
      <c r="B62" s="63" t="s">
        <v>258</v>
      </c>
      <c r="C62" s="63" t="s">
        <v>259</v>
      </c>
      <c r="D62" s="61">
        <v>55</v>
      </c>
    </row>
    <row r="63" spans="1:4" ht="39.950000000000003" customHeight="1" x14ac:dyDescent="0.2">
      <c r="A63" s="62">
        <v>56</v>
      </c>
      <c r="B63" s="63" t="s">
        <v>264</v>
      </c>
      <c r="C63" s="63" t="s">
        <v>259</v>
      </c>
      <c r="D63" s="62">
        <v>56</v>
      </c>
    </row>
    <row r="64" spans="1:4" ht="39.950000000000003" customHeight="1" x14ac:dyDescent="0.2">
      <c r="A64" s="62">
        <v>57</v>
      </c>
      <c r="B64" s="63" t="s">
        <v>269</v>
      </c>
      <c r="C64" s="63" t="s">
        <v>259</v>
      </c>
      <c r="D64" s="61">
        <v>57</v>
      </c>
    </row>
    <row r="65" spans="1:4" ht="39.950000000000003" customHeight="1" x14ac:dyDescent="0.2">
      <c r="A65" s="62">
        <v>58</v>
      </c>
      <c r="B65" s="63" t="s">
        <v>275</v>
      </c>
      <c r="C65" s="63" t="s">
        <v>259</v>
      </c>
      <c r="D65" s="62">
        <v>58</v>
      </c>
    </row>
    <row r="66" spans="1:4" ht="39.950000000000003" customHeight="1" x14ac:dyDescent="0.2">
      <c r="A66" s="62">
        <v>59</v>
      </c>
      <c r="B66" s="63"/>
      <c r="C66" s="63"/>
      <c r="D66" s="61">
        <v>59</v>
      </c>
    </row>
    <row r="67" spans="1:4" ht="39.950000000000003" customHeight="1" x14ac:dyDescent="0.2">
      <c r="A67" s="62">
        <v>60</v>
      </c>
      <c r="B67" s="63"/>
      <c r="C67" s="63"/>
      <c r="D67" s="62">
        <v>60</v>
      </c>
    </row>
  </sheetData>
  <mergeCells count="1">
    <mergeCell ref="A1:D1"/>
  </mergeCells>
  <pageMargins left="0.39" right="0.4" top="0.75" bottom="0.75" header="0.3" footer="0.3"/>
  <pageSetup paperSize="9" scale="67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ASN</vt:lpstr>
      <vt:lpstr>P3K PW</vt:lpstr>
      <vt:lpstr>OS</vt:lpstr>
      <vt:lpstr>Peta Jabatan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2026-02-03T02:25:50Z</cp:lastPrinted>
  <dcterms:created xsi:type="dcterms:W3CDTF">2025-06-18T09:33:22Z</dcterms:created>
  <dcterms:modified xsi:type="dcterms:W3CDTF">2026-02-06T03:54:17Z</dcterms:modified>
</cp:coreProperties>
</file>